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5"/>
  </bookViews>
  <sheets>
    <sheet name="Portada" sheetId="1" state="visible" r:id="rId1"/>
    <sheet name="Año_Academico" sheetId="2" state="visible" r:id="rId2"/>
    <sheet name="Dias Festivos" sheetId="3" state="visible" r:id="rId3"/>
    <sheet name="Fechas Importantes" sheetId="4" state="visible" r:id="rId4"/>
    <sheet name="Colegio" sheetId="5" state="visible" r:id="rId5"/>
    <sheet name="Cargos_Directivos" sheetId="6" state="visible" r:id="rId6"/>
    <sheet name="Directivos" sheetId="7" state="visible" r:id="rId7"/>
    <sheet name="Niveles_Educativos" sheetId="8" state="visible" r:id="rId8"/>
    <sheet name="Grados" sheetId="9" state="visible" r:id="rId9"/>
    <sheet name="Materias" sheetId="10" state="visible" r:id="rId10"/>
    <sheet name="Cursos" sheetId="11" state="visible" r:id="rId11"/>
    <sheet name="Docentes" sheetId="12" state="visible" r:id="rId12"/>
    <sheet name="Alumnos" sheetId="13" state="visible" r:id="rId13"/>
    <sheet name="Aulas" sheetId="14" state="visible" r:id="rId14"/>
    <sheet name="Matriz de Roles" sheetId="15" state="visible" r:id="rId15"/>
    <sheet name="Gestion_Apoderados" sheetId="16" state="visible" r:id="rId16"/>
  </sheets>
  <definedNames>
    <definedName name="_xlnm._FilterDatabase" localSheetId="12" hidden="1">Alumnos!$A$1:$Z$11</definedName>
    <definedName name="_xlnm._FilterDatabase" localSheetId="12" hidden="1">Alumnos!$A$1:$Z$11</definedName>
  </definedNames>
  <calcPr fullCalcOnLoad="1" iterateDelta="0.0001"/>
</workbook>
</file>

<file path=xl/sharedStrings.xml><?xml version="1.0" encoding="utf-8"?>
<sst xmlns="http://schemas.openxmlformats.org/spreadsheetml/2006/main" count="377" uniqueCount="377">
  <si>
    <t xml:space="preserve">PLANILLA DE CARGA — AlmaIA</t>
  </si>
  <si>
    <t xml:space="preserve">Uso de la Información · Instrucciones de llenado</t>
  </si>
  <si>
    <t xml:space="preserve">Versión Final · Junio 2026 · Confidencial</t>
  </si>
  <si>
    <t xml:space="preserve">¿Para qué se usa esta información?</t>
  </si>
  <si>
    <t xml:space="preserve">Esta planilla permite crear el colegio en AlmaIA y operar el servicio de apoyo a la convivencia y el bienestar escolar. AlmaIA ordena señales para apoyar la revisión humana del equipo del colegio; no reemplaza la evaluación médica ni el diagnóstico clínico profesional, y no adopta decisiones autónomas sobre los estudiantes.</t>
  </si>
  <si>
    <t xml:space="preserve">Roles sobre los datos</t>
  </si>
  <si>
    <t xml:space="preserve">Responsable (dueño)</t>
  </si>
  <si>
    <t xml:space="preserve">El establecimiento educativo / sostenedor es el titular y dueño de los datos.</t>
  </si>
  <si>
    <t>Encargado</t>
  </si>
  <si>
    <t xml:space="preserve">AlmaIA trata los datos por encargo del colegio, según sus instrucciones y la Ley 21.719 (LPDP).</t>
  </si>
  <si>
    <t xml:space="preserve">Contacto DPO</t>
  </si>
  <si>
    <t xml:space="preserve">Delegado de Protección de Datos: Alex Medel — dpo@almaia.cl</t>
  </si>
  <si>
    <t xml:space="preserve">Reglas de llenado</t>
  </si>
  <si>
    <t xml:space="preserve">Campos OBLIGATORIOS</t>
  </si>
  <si>
    <t xml:space="preserve">Van marcados en ROJO en cada hoja. Sin ellos no se puede cargar el registro.</t>
  </si>
  <si>
    <t xml:space="preserve">Campos OPCIONALES</t>
  </si>
  <si>
    <t xml:space="preserve">Los que no están marcados con color. Se pueden completar si se cuenta con el dato.</t>
  </si>
  <si>
    <t>Fechas</t>
  </si>
  <si>
    <t xml:space="preserve">Formato dd/mm/aaaa (ej.: 05/03/2026).</t>
  </si>
  <si>
    <t xml:space="preserve">Correos electrónicos</t>
  </si>
  <si>
    <t xml:space="preserve">Formato aaaa@hosting.cl (ej.: contacto@colegio.cl).</t>
  </si>
  <si>
    <t>Teléfonos</t>
  </si>
  <si>
    <t xml:space="preserve">Formato 56 9 7 102 25 24 (código país, luego el número).</t>
  </si>
  <si>
    <t xml:space="preserve">Correlativos (IDs)</t>
  </si>
  <si>
    <t xml:space="preserve">colegio_id, directivo_id, niveles_educativos_id, grado_id, materia_id, curso_id, docente_id, alumno_id, aula_id son referenciales de 1 a N. Son opcionales.</t>
  </si>
  <si>
    <t xml:space="preserve">Reglas de integridad obligatorias</t>
  </si>
  <si>
    <t>Alumnos</t>
  </si>
  <si>
    <t xml:space="preserve">Cada alumno debe tener SÍ o SÍ al menos un apoderado o tutor, con RUT y nombres como mínimo.</t>
  </si>
  <si>
    <t xml:space="preserve">Directivos y Docentes</t>
  </si>
  <si>
    <t xml:space="preserve">Cada directivo y docente debe tener como mínimo RUT, nombre y rol/cargo.</t>
  </si>
  <si>
    <t xml:space="preserve">Datos sensibles y privacidad</t>
  </si>
  <si>
    <t xml:space="preserve">La carga inicial NO solicita antecedentes clínicos ni familiares (principio de minimización). Esos datos son opcionales y se ingresan dentro del sistema solo si el colegio activa el módulo, con consentimiento explícito. El consentimiento del apoderado se gestiona y registra dentro de la aplicación (versionado y auditable); sin él, el alumno no puede usar AlmaIA.</t>
  </si>
  <si>
    <t>Confidencialidad</t>
  </si>
  <si>
    <t xml:space="preserve">Esta planilla forma parte integrante del contrato de encargo y contiene únicamente las categorías de datos necesarias para el servicio. El establecimiento certifica que cuenta con la base legal y los consentimientos requeridos para entregarlos a AlmaIA.</t>
  </si>
  <si>
    <t xml:space="preserve">AlmaIA — Documento de apoyo. No constituye asesoría legal.</t>
  </si>
  <si>
    <t>ANO_ESCOLAR</t>
  </si>
  <si>
    <t>FECHA_INGRESO</t>
  </si>
  <si>
    <t>FECHA_EGRESO</t>
  </si>
  <si>
    <t>FECHA</t>
  </si>
  <si>
    <t>DESCRIPCION</t>
  </si>
  <si>
    <t xml:space="preserve">Año Nuevo</t>
  </si>
  <si>
    <t xml:space="preserve">Viernes Santo</t>
  </si>
  <si>
    <t xml:space="preserve">Sábado Santo</t>
  </si>
  <si>
    <t xml:space="preserve">Día del Trabajo</t>
  </si>
  <si>
    <t xml:space="preserve">Glorias Navales</t>
  </si>
  <si>
    <t xml:space="preserve">Día Nacional de los Pueblos Indígenas</t>
  </si>
  <si>
    <t xml:space="preserve">San Pedro y San Pablo</t>
  </si>
  <si>
    <t xml:space="preserve">Día de la Virgen del Carmen</t>
  </si>
  <si>
    <t xml:space="preserve">Asunción de la Virgen</t>
  </si>
  <si>
    <t xml:space="preserve">Independencia Nacional</t>
  </si>
  <si>
    <t xml:space="preserve">Glorias del Ejército</t>
  </si>
  <si>
    <t xml:space="preserve">Fiestas Patrias (Domingo)</t>
  </si>
  <si>
    <t xml:space="preserve">Encuentro de Dos Mundos</t>
  </si>
  <si>
    <t xml:space="preserve">Día de las Iglesias Evangélicas y Protestantes</t>
  </si>
  <si>
    <t xml:space="preserve">Día de Todos los Santos</t>
  </si>
  <si>
    <t xml:space="preserve">Inmaculada Concepción</t>
  </si>
  <si>
    <t>Navidad</t>
  </si>
  <si>
    <t xml:space="preserve">Nota: aqui puede indicar que dias el colegio o establecimiento tiene algún día especial o si No quisiera que le lleguen las micropreguntas al alumno</t>
  </si>
  <si>
    <t>TITULO</t>
  </si>
  <si>
    <t xml:space="preserve">Inicio de Clases</t>
  </si>
  <si>
    <t xml:space="preserve">Primer día del año escolar</t>
  </si>
  <si>
    <t xml:space="preserve">Semana Santa</t>
  </si>
  <si>
    <t xml:space="preserve">Celebración religiosa - sin clases</t>
  </si>
  <si>
    <t xml:space="preserve">Vacaciones de Invierno</t>
  </si>
  <si>
    <t xml:space="preserve">Inicio del receso escolar de invierno</t>
  </si>
  <si>
    <t xml:space="preserve">Fiestas Patrias</t>
  </si>
  <si>
    <t xml:space="preserve">Inicio receso fiestas Patrias</t>
  </si>
  <si>
    <t xml:space="preserve">Día del Profesor</t>
  </si>
  <si>
    <t xml:space="preserve">Reconocimiento a los docentes - actividades especiales</t>
  </si>
  <si>
    <t xml:space="preserve">Término de clases</t>
  </si>
  <si>
    <t xml:space="preserve">Último día del año escolar</t>
  </si>
  <si>
    <t>COLEGIO_ID</t>
  </si>
  <si>
    <t>NOMBRE</t>
  </si>
  <si>
    <t>NOMBRE_FANTASIA</t>
  </si>
  <si>
    <t>TIPO_COLEGIO</t>
  </si>
  <si>
    <t>TIPO_RELIGION</t>
  </si>
  <si>
    <t>DEPENDENCIA</t>
  </si>
  <si>
    <t>SITIO_WEB</t>
  </si>
  <si>
    <t>instagram</t>
  </si>
  <si>
    <t>DIRECCION</t>
  </si>
  <si>
    <t>TELEFONO_CONTACTO</t>
  </si>
  <si>
    <t>CORREO_ELECTRONICO</t>
  </si>
  <si>
    <t>COMUNA_ID</t>
  </si>
  <si>
    <t>REGION_ID</t>
  </si>
  <si>
    <t>PAIS_ID</t>
  </si>
  <si>
    <t>DIRECTOR</t>
  </si>
  <si>
    <t xml:space="preserve">Nombre Colegio</t>
  </si>
  <si>
    <t xml:space="preserve">Nombre Fantasia o nombre corto</t>
  </si>
  <si>
    <t xml:space="preserve">Particular Subvencionado</t>
  </si>
  <si>
    <t xml:space="preserve">Católico, Evangélico, Laico, Judío, etc.</t>
  </si>
  <si>
    <t>Privada</t>
  </si>
  <si>
    <t xml:space="preserve">LA FLORIDA</t>
  </si>
  <si>
    <t>METROPOLITANA</t>
  </si>
  <si>
    <t>CHILE</t>
  </si>
  <si>
    <t xml:space="preserve">Nombre Director</t>
  </si>
  <si>
    <t>CARGO</t>
  </si>
  <si>
    <t xml:space="preserve">Director/a (Rector/a)</t>
  </si>
  <si>
    <t xml:space="preserve">Máxima autoridad; gestiona todo el colegio en lo académico y administrativo</t>
  </si>
  <si>
    <t xml:space="preserve">Jefe/a UTP</t>
  </si>
  <si>
    <t xml:space="preserve">Coordina el currículum, metodologías y evaluaciones</t>
  </si>
  <si>
    <t xml:space="preserve">Encargado/a de Convivencia</t>
  </si>
  <si>
    <t xml:space="preserve">Gestiona el bienestar emocional y clima escolar</t>
  </si>
  <si>
    <t xml:space="preserve">Psicólogo/a Escolar</t>
  </si>
  <si>
    <t xml:space="preserve">Realiza intervenciones y diagnósticos emocionales o conductuales</t>
  </si>
  <si>
    <t>Docente</t>
  </si>
  <si>
    <t xml:space="preserve">Gestiona y relación docente con el curso asociado y sus alumnos</t>
  </si>
  <si>
    <t>DIRECTIVOS_ID</t>
  </si>
  <si>
    <t>RUT</t>
  </si>
  <si>
    <t>APELLIDOS</t>
  </si>
  <si>
    <t>FECHA_NACIMIENTO</t>
  </si>
  <si>
    <t xml:space="preserve">ESTADO CIVIL</t>
  </si>
  <si>
    <t>GENERO</t>
  </si>
  <si>
    <t>DIRECCIÓN</t>
  </si>
  <si>
    <t>COMUNA</t>
  </si>
  <si>
    <t>REGION</t>
  </si>
  <si>
    <t>TELEFONO_CONTACTO1</t>
  </si>
  <si>
    <t>TELEFONO_CONTACTO2</t>
  </si>
  <si>
    <t>EMAIL</t>
  </si>
  <si>
    <t>1-9</t>
  </si>
  <si>
    <t xml:space="preserve">Nombre 1</t>
  </si>
  <si>
    <t xml:space="preserve">Apellido 1</t>
  </si>
  <si>
    <t>dd/mm/yyyy</t>
  </si>
  <si>
    <t>Soltera</t>
  </si>
  <si>
    <t>Femenino</t>
  </si>
  <si>
    <t xml:space="preserve">Dirección 1</t>
  </si>
  <si>
    <t>Peñalolen</t>
  </si>
  <si>
    <t>Metropolitana</t>
  </si>
  <si>
    <t xml:space="preserve">562 271 19 315</t>
  </si>
  <si>
    <t xml:space="preserve">569 123 22 22</t>
  </si>
  <si>
    <t>dirección@colegio.cl</t>
  </si>
  <si>
    <t xml:space="preserve">Nombre 2</t>
  </si>
  <si>
    <t xml:space="preserve">Apellido 2</t>
  </si>
  <si>
    <t xml:space="preserve">La Florida</t>
  </si>
  <si>
    <t xml:space="preserve">Nombre 3</t>
  </si>
  <si>
    <t xml:space="preserve">Apellido 3</t>
  </si>
  <si>
    <t>Soltero</t>
  </si>
  <si>
    <t>Masculino</t>
  </si>
  <si>
    <t>Maipú</t>
  </si>
  <si>
    <t xml:space="preserve">Nombre 4</t>
  </si>
  <si>
    <t xml:space="preserve">Apellido 4</t>
  </si>
  <si>
    <t xml:space="preserve">Puente Alto</t>
  </si>
  <si>
    <t xml:space="preserve">Nota: el directivo_id es de 1 a N.</t>
  </si>
  <si>
    <t>NIVEL_EDUCATIVO_ID</t>
  </si>
  <si>
    <t xml:space="preserve">Enseñanza Básica</t>
  </si>
  <si>
    <t xml:space="preserve">Enseñanza Media</t>
  </si>
  <si>
    <t xml:space="preserve">Nota: el nivel_educativo_id es de 1 a N.</t>
  </si>
  <si>
    <t>GRADO_ID</t>
  </si>
  <si>
    <t xml:space="preserve">Sexto Básico A</t>
  </si>
  <si>
    <t xml:space="preserve">Sexto Básico B</t>
  </si>
  <si>
    <t xml:space="preserve">Octavo Básico A</t>
  </si>
  <si>
    <t xml:space="preserve">Octavo Básico B</t>
  </si>
  <si>
    <t xml:space="preserve">Octavo Básico C</t>
  </si>
  <si>
    <t xml:space="preserve">Nota: el grado_id es de 1 a N.</t>
  </si>
  <si>
    <t>MATERIA_ID</t>
  </si>
  <si>
    <t>CODIGO_MATERIA</t>
  </si>
  <si>
    <t>Matemáticas</t>
  </si>
  <si>
    <t>MAT101</t>
  </si>
  <si>
    <t xml:space="preserve">Lenguaje y Comunicación </t>
  </si>
  <si>
    <t>LEN101</t>
  </si>
  <si>
    <t xml:space="preserve">Ciencias Naturales</t>
  </si>
  <si>
    <t>CIE101</t>
  </si>
  <si>
    <t xml:space="preserve">Historia, Geografía y Ciencias Sociales</t>
  </si>
  <si>
    <t>HIS101</t>
  </si>
  <si>
    <t xml:space="preserve">Educación Física y Salud</t>
  </si>
  <si>
    <t>EDU101</t>
  </si>
  <si>
    <t xml:space="preserve">Artes Visuales</t>
  </si>
  <si>
    <t>ART101</t>
  </si>
  <si>
    <t>Música</t>
  </si>
  <si>
    <t>MUS101</t>
  </si>
  <si>
    <t xml:space="preserve">Nota 1: la materia_id es de 1 a N.</t>
  </si>
  <si>
    <t xml:space="preserve">Nota2: Código Materia colocar una nomenclatura de 3 letras y código de 3 numeros, es opcional</t>
  </si>
  <si>
    <t>CURSO_ID</t>
  </si>
  <si>
    <t>NOMBRE_CURSO</t>
  </si>
  <si>
    <t>colegio_id</t>
  </si>
  <si>
    <t xml:space="preserve">6° Básico A</t>
  </si>
  <si>
    <t xml:space="preserve">Sexto Básico</t>
  </si>
  <si>
    <t xml:space="preserve">7° Básico B</t>
  </si>
  <si>
    <t xml:space="preserve">Septimo Básico</t>
  </si>
  <si>
    <t xml:space="preserve">1° Medio A</t>
  </si>
  <si>
    <t xml:space="preserve">Primero Medio</t>
  </si>
  <si>
    <t xml:space="preserve">2° Medio A</t>
  </si>
  <si>
    <t xml:space="preserve">Segundo Medio</t>
  </si>
  <si>
    <t xml:space="preserve">Taller Laboral A</t>
  </si>
  <si>
    <t xml:space="preserve">Taller Laboral </t>
  </si>
  <si>
    <t xml:space="preserve">Nota: el curso_id es de 1 a N.</t>
  </si>
  <si>
    <t>DOCENTE_ID</t>
  </si>
  <si>
    <t>ESPECIALIDAD</t>
  </si>
  <si>
    <t>CURSO_TITULAR</t>
  </si>
  <si>
    <t xml:space="preserve">San Luis de Macul 4670</t>
  </si>
  <si>
    <t>General</t>
  </si>
  <si>
    <t xml:space="preserve">Renuevo 1511 Dpto 22</t>
  </si>
  <si>
    <t xml:space="preserve"> METROPOLITANA</t>
  </si>
  <si>
    <t xml:space="preserve">Doctor Sotero Del Rio 109 dpto 316</t>
  </si>
  <si>
    <t xml:space="preserve">Diego Portales 1408 dpto 242</t>
  </si>
  <si>
    <t xml:space="preserve">Nombre 5</t>
  </si>
  <si>
    <t xml:space="preserve">Apellido 5</t>
  </si>
  <si>
    <t xml:space="preserve">Av. Troncal san francisco 1814</t>
  </si>
  <si>
    <t xml:space="preserve">Nombre 6</t>
  </si>
  <si>
    <t xml:space="preserve">Apellido 6</t>
  </si>
  <si>
    <t xml:space="preserve">Masculino </t>
  </si>
  <si>
    <t xml:space="preserve">La Reforma 367</t>
  </si>
  <si>
    <t xml:space="preserve">Maipu </t>
  </si>
  <si>
    <t xml:space="preserve">Ed. Fisica </t>
  </si>
  <si>
    <t>Ninguna</t>
  </si>
  <si>
    <t xml:space="preserve">Nota: el docente_id es de 1 a N.</t>
  </si>
  <si>
    <t>ALUMNO_ID</t>
  </si>
  <si>
    <t>CURSO</t>
  </si>
  <si>
    <t>RUT_APODERADO_1</t>
  </si>
  <si>
    <t>NOMBRE_APODERADO_1</t>
  </si>
  <si>
    <t>APELLIDO_APODERADO_1</t>
  </si>
  <si>
    <t>EMAIL_APODERADO_1</t>
  </si>
  <si>
    <t>TELEFONO_APODERADO_1</t>
  </si>
  <si>
    <t>genero</t>
  </si>
  <si>
    <t>RUT_APODERADO_2</t>
  </si>
  <si>
    <t>NOMBRE_APODERADO_2</t>
  </si>
  <si>
    <t>APELLIDO_APODERADO_2</t>
  </si>
  <si>
    <t>EMAIL_APODERADO_2</t>
  </si>
  <si>
    <t>TELEFONO_APODERADO_2</t>
  </si>
  <si>
    <t>Alumno01-1</t>
  </si>
  <si>
    <t xml:space="preserve">Alumno 1</t>
  </si>
  <si>
    <t xml:space="preserve">Apellidos 1</t>
  </si>
  <si>
    <t xml:space="preserve">New Dirección Test 1</t>
  </si>
  <si>
    <t>Quilicura</t>
  </si>
  <si>
    <t>Apoderado01-1</t>
  </si>
  <si>
    <t xml:space="preserve">Apoderado 1</t>
  </si>
  <si>
    <t xml:space="preserve">ApellidoApoderado 1</t>
  </si>
  <si>
    <t>emailapoderado@almaia.cl</t>
  </si>
  <si>
    <t>Alumno01-2</t>
  </si>
  <si>
    <t xml:space="preserve">Alumno 2</t>
  </si>
  <si>
    <t xml:space="preserve">Apellidos 2</t>
  </si>
  <si>
    <t xml:space="preserve">7° Básico A</t>
  </si>
  <si>
    <t xml:space="preserve">New Dirección Test 2</t>
  </si>
  <si>
    <t>Renca</t>
  </si>
  <si>
    <t>Apoderado01-2</t>
  </si>
  <si>
    <t xml:space="preserve">Apoderado 2</t>
  </si>
  <si>
    <t xml:space="preserve">ApellidoApoderado 2 </t>
  </si>
  <si>
    <t>Alumno01-3</t>
  </si>
  <si>
    <t xml:space="preserve">Alumno 3</t>
  </si>
  <si>
    <t xml:space="preserve">Apellidos 3</t>
  </si>
  <si>
    <t xml:space="preserve">8° Básico A</t>
  </si>
  <si>
    <t xml:space="preserve">New Dirección Test 3</t>
  </si>
  <si>
    <t>Recoleta</t>
  </si>
  <si>
    <t>Apoderado01-3</t>
  </si>
  <si>
    <t xml:space="preserve">Apoderado 3</t>
  </si>
  <si>
    <t xml:space="preserve">ApellidoApoderado 2</t>
  </si>
  <si>
    <t>Alumno01-4</t>
  </si>
  <si>
    <t xml:space="preserve">Alumno 4</t>
  </si>
  <si>
    <t xml:space="preserve">Apellidos 4</t>
  </si>
  <si>
    <t xml:space="preserve">Grado AlmaIA</t>
  </si>
  <si>
    <t xml:space="preserve">New Dirección Test 4</t>
  </si>
  <si>
    <t>Apoderado01-4</t>
  </si>
  <si>
    <t xml:space="preserve">Apoderado 4</t>
  </si>
  <si>
    <t>Alumno01-5</t>
  </si>
  <si>
    <t xml:space="preserve">Alumno 5</t>
  </si>
  <si>
    <t xml:space="preserve">Apellidos 5</t>
  </si>
  <si>
    <t xml:space="preserve">New Dirección Test 5</t>
  </si>
  <si>
    <t>Apoderado01-5</t>
  </si>
  <si>
    <t xml:space="preserve">Apoderado 5</t>
  </si>
  <si>
    <t xml:space="preserve">ApellidoApoderado 3</t>
  </si>
  <si>
    <t>Alumno01-6</t>
  </si>
  <si>
    <t xml:space="preserve">Alumno 6</t>
  </si>
  <si>
    <t xml:space="preserve">Apellidos 6</t>
  </si>
  <si>
    <t xml:space="preserve">New Dirección Test 6</t>
  </si>
  <si>
    <t>Apoderado01-6</t>
  </si>
  <si>
    <t xml:space="preserve">Apoderado 6</t>
  </si>
  <si>
    <t>Alumno01-7</t>
  </si>
  <si>
    <t xml:space="preserve">Alumno 7</t>
  </si>
  <si>
    <t xml:space="preserve">Apellidos 7</t>
  </si>
  <si>
    <t xml:space="preserve">New Dirección Test 7</t>
  </si>
  <si>
    <t>Apoderado01-7</t>
  </si>
  <si>
    <t xml:space="preserve">Apoderado 7</t>
  </si>
  <si>
    <t xml:space="preserve">ApellidoApoderado 4</t>
  </si>
  <si>
    <t>Alumno01-8</t>
  </si>
  <si>
    <t xml:space="preserve">Alumno 8</t>
  </si>
  <si>
    <t xml:space="preserve">Apellidos 8</t>
  </si>
  <si>
    <t xml:space="preserve">New Dirección Test 8</t>
  </si>
  <si>
    <t>Apoderado01-8</t>
  </si>
  <si>
    <t xml:space="preserve">Apoderado 8</t>
  </si>
  <si>
    <t>Alumno01-9</t>
  </si>
  <si>
    <t xml:space="preserve">Alumno 9</t>
  </si>
  <si>
    <t xml:space="preserve">Apellidos 9</t>
  </si>
  <si>
    <t xml:space="preserve">New Dirección Test 9</t>
  </si>
  <si>
    <t>Apoderado01-9</t>
  </si>
  <si>
    <t xml:space="preserve">Apoderado 9</t>
  </si>
  <si>
    <t xml:space="preserve">ApellidoApoderado 5</t>
  </si>
  <si>
    <t>Alumno01-10</t>
  </si>
  <si>
    <t xml:space="preserve">Alumno 10</t>
  </si>
  <si>
    <t xml:space="preserve">Apellidos 10</t>
  </si>
  <si>
    <t xml:space="preserve">New Dirección Test 10</t>
  </si>
  <si>
    <t>Apoderado01-10</t>
  </si>
  <si>
    <t xml:space="preserve">Apoderado 10</t>
  </si>
  <si>
    <t xml:space="preserve">Nota: el alumno_id es de 1 a N.</t>
  </si>
  <si>
    <t>AULA_ID</t>
  </si>
  <si>
    <t>MATERIA</t>
  </si>
  <si>
    <t xml:space="preserve">NOMBRE DOCENTE</t>
  </si>
  <si>
    <t>TPO_DOCENTE</t>
  </si>
  <si>
    <t xml:space="preserve">Todas las asignaturas</t>
  </si>
  <si>
    <t xml:space="preserve">Victoria Caceres Neira </t>
  </si>
  <si>
    <t xml:space="preserve">CURSO JEFE </t>
  </si>
  <si>
    <t xml:space="preserve">Ed. Fisica</t>
  </si>
  <si>
    <t xml:space="preserve">Diego Santibañez </t>
  </si>
  <si>
    <t>ASIGNATURA</t>
  </si>
  <si>
    <t xml:space="preserve">7° y 8° Básico A</t>
  </si>
  <si>
    <t xml:space="preserve">Damari Salazar</t>
  </si>
  <si>
    <t xml:space="preserve">Claudia Andrade</t>
  </si>
  <si>
    <t xml:space="preserve">Taller Laboral B</t>
  </si>
  <si>
    <t xml:space="preserve">Andrea Rojas</t>
  </si>
  <si>
    <t xml:space="preserve">Taller Laboral C</t>
  </si>
  <si>
    <t xml:space="preserve">Daniela Zambrano </t>
  </si>
  <si>
    <t xml:space="preserve">Nota: el aula_id es de 1 a N.</t>
  </si>
  <si>
    <t xml:space="preserve">Matriz de Roles — Opciones visibles por perfil (Módulo Web)</t>
  </si>
  <si>
    <t xml:space="preserve">SI = visible/habilitado · NO = sin acceso · texto = acceso condicional</t>
  </si>
  <si>
    <t>Módulo</t>
  </si>
  <si>
    <t xml:space="preserve">Acción / Opción</t>
  </si>
  <si>
    <t>Apoderado/Tutor</t>
  </si>
  <si>
    <t>Alumno</t>
  </si>
  <si>
    <t>SLEP</t>
  </si>
  <si>
    <t>Contratante/Sostenedor</t>
  </si>
  <si>
    <t>Director/Rector</t>
  </si>
  <si>
    <t xml:space="preserve">Psicólogo Colegio</t>
  </si>
  <si>
    <t xml:space="preserve">Equipo Convivencia</t>
  </si>
  <si>
    <t xml:space="preserve">Administrador Colegio</t>
  </si>
  <si>
    <t xml:space="preserve">Equipo Psicólogo Alma</t>
  </si>
  <si>
    <t xml:space="preserve">Directora Psicología</t>
  </si>
  <si>
    <t xml:space="preserve">Director Tecnología</t>
  </si>
  <si>
    <t>Administrador</t>
  </si>
  <si>
    <t>Visualizador-Soporte</t>
  </si>
  <si>
    <t>Web</t>
  </si>
  <si>
    <t xml:space="preserve">Ingreso \ Autenticación CI. Nro de serie</t>
  </si>
  <si>
    <t>SI</t>
  </si>
  <si>
    <t xml:space="preserve">Barra Opciones Lateral Izquierda</t>
  </si>
  <si>
    <t xml:space="preserve">Buscador Alumno (Visor/Grilla con alumnos, lleva a ficha)</t>
  </si>
  <si>
    <t>NO</t>
  </si>
  <si>
    <t xml:space="preserve">Dashboard Principales (Home)</t>
  </si>
  <si>
    <t xml:space="preserve">---&gt; Gráfico Emociones</t>
  </si>
  <si>
    <t xml:space="preserve">---&gt; Gráfico Patologías</t>
  </si>
  <si>
    <t xml:space="preserve">---&gt; Gráfico Neurodivergencias</t>
  </si>
  <si>
    <t xml:space="preserve">---&gt; Alertas (Conteo) / SOS Alma, Denuncias y Alertas</t>
  </si>
  <si>
    <t xml:space="preserve">----&gt; Visualizador de Niños SOS Alma o Denuncias 
(IMPORTANTE Anonimas Tachar para cuidar anonimato)</t>
  </si>
  <si>
    <t xml:space="preserve">SI/Solo cursos asociados</t>
  </si>
  <si>
    <t xml:space="preserve">Ficha Alumno</t>
  </si>
  <si>
    <t xml:space="preserve">---&gt; Ficha Alumno</t>
  </si>
  <si>
    <t xml:space="preserve">SI, Solo cursos asociados</t>
  </si>
  <si>
    <t xml:space="preserve">---&gt; Dirección</t>
  </si>
  <si>
    <t xml:space="preserve">---&gt; Antecedentes Clinicos Relevantes</t>
  </si>
  <si>
    <t xml:space="preserve">---&gt; Apoderados</t>
  </si>
  <si>
    <t xml:space="preserve">---&gt; Alertas</t>
  </si>
  <si>
    <t xml:space="preserve">---&gt; Informes</t>
  </si>
  <si>
    <t xml:space="preserve">---&gt; Emociones</t>
  </si>
  <si>
    <t>Alertas</t>
  </si>
  <si>
    <t xml:space="preserve">---&gt; Visor/Grilla con Filtros (SOS Alma, Alertas o Denuncias)</t>
  </si>
  <si>
    <t xml:space="preserve">---&gt; Visualizar el registro de Alerta.</t>
  </si>
  <si>
    <t>Comparativo</t>
  </si>
  <si>
    <t xml:space="preserve">---&gt; ventana con gráficos comparativos</t>
  </si>
  <si>
    <t>Informes</t>
  </si>
  <si>
    <t xml:space="preserve">---&gt; Colegios</t>
  </si>
  <si>
    <t xml:space="preserve">---&gt; Cursos</t>
  </si>
  <si>
    <t xml:space="preserve">SI, Solo sus cursos</t>
  </si>
  <si>
    <t xml:space="preserve">---&gt; Grados / Niveles</t>
  </si>
  <si>
    <t>Perfil</t>
  </si>
  <si>
    <t xml:space="preserve">---&gt; Perfil Persona</t>
  </si>
  <si>
    <t>Configuración</t>
  </si>
  <si>
    <t xml:space="preserve">---&gt; Visor/Grilla con Filtros preguntas preconfiguradas</t>
  </si>
  <si>
    <t>Administrativo</t>
  </si>
  <si>
    <t xml:space="preserve">----&gt; Docentes</t>
  </si>
  <si>
    <t>Home</t>
  </si>
  <si>
    <t xml:space="preserve">Evaluación Asistida</t>
  </si>
  <si>
    <t>Avisos</t>
  </si>
  <si>
    <t>Encuestas</t>
  </si>
  <si>
    <t>Beneficios</t>
  </si>
  <si>
    <r>
      <rPr>
        <b/>
        <sz val="11"/>
        <color theme="1"/>
        <rFont val="Calibri"/>
      </rPr>
      <t>Objetivo</t>
    </r>
    <r>
      <rPr>
        <sz val="11"/>
        <color theme="1"/>
        <rFont val="Calibri"/>
      </rPr>
      <t xml:space="preserve">: Listar Apoderados que apoyaran a cada curso para difundir información y sobre todo generar los conversatorios y capacitación que se llevaran a cabo.</t>
    </r>
  </si>
  <si>
    <t>Correlativo</t>
  </si>
  <si>
    <t>Curso</t>
  </si>
  <si>
    <t xml:space="preserve">Nombre Apoderado</t>
  </si>
  <si>
    <t>Celular</t>
  </si>
  <si>
    <t>Correo</t>
  </si>
  <si>
    <t>N..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</si>
</sst>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DD/MM/YYYY"/>
    <numFmt numFmtId="161" formatCode="dd\-mmm"/>
  </numFmts>
  <fonts count="35">
    <font>
      <sz val="11.000000"/>
      <color theme="1"/>
      <name val="Calibri"/>
    </font>
    <font>
      <u/>
      <sz val="11.000000"/>
      <color theme="10"/>
      <name val="Calibri"/>
    </font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sz val="11.000000"/>
      <color rgb="FF3F3F76"/>
      <name val="Calibri"/>
      <scheme val="minor"/>
    </font>
    <font>
      <sz val="11.000000"/>
      <color rgb="FF006100"/>
      <name val="Calibri"/>
      <scheme val="minor"/>
    </font>
    <font>
      <i/>
      <sz val="11.000000"/>
      <color rgb="FF7F7F7F"/>
      <name val="Calibri"/>
      <scheme val="minor"/>
    </font>
    <font>
      <b/>
      <sz val="20.000000"/>
      <color rgb="FF1A365D"/>
    </font>
    <font>
      <i/>
      <sz val="12.000000"/>
      <color rgb="FF4A5568"/>
    </font>
    <font>
      <sz val="10.000000"/>
      <color rgb="FF4A5568"/>
    </font>
    <font>
      <b/>
      <sz val="12.000000"/>
      <color rgb="FF2B6CB0"/>
    </font>
    <font>
      <sz val="10.000000"/>
    </font>
    <font>
      <b/>
      <sz val="10.000000"/>
    </font>
    <font>
      <i/>
      <sz val="8.000000"/>
      <color rgb="FFA0AEC0"/>
    </font>
    <font>
      <b/>
      <sz val="11.000000"/>
      <color theme="1"/>
      <name val="Calibri"/>
    </font>
    <font>
      <sz val="11.000000"/>
      <color rgb="FF1F1F1F"/>
      <name val="Calibri"/>
    </font>
    <font>
      <b/>
      <sz val="11.000000"/>
      <name val="Times New Roman"/>
    </font>
    <font>
      <sz val="11.000000"/>
      <name val="Times New Roman"/>
    </font>
    <font>
      <b/>
      <sz val="11.000000"/>
      <color theme="1"/>
      <name val="Times New Roman"/>
    </font>
    <font>
      <sz val="11.000000"/>
      <color theme="1"/>
      <name val="Times New Roman"/>
    </font>
    <font>
      <u/>
      <sz val="11.000000"/>
      <color theme="10"/>
      <name val="Times New Roman"/>
    </font>
    <font>
      <b/>
      <sz val="12.000000"/>
      <name val="Times New Roman"/>
    </font>
    <font>
      <b/>
      <sz val="14.000000"/>
      <color rgb="FF1A365D"/>
    </font>
    <font>
      <i/>
      <sz val="9.000000"/>
      <color rgb="FF4A5568"/>
    </font>
    <font>
      <b/>
      <color indexed="65"/>
    </font>
    <font>
      <sz val="8.000000"/>
      <color rgb="FF4A5568"/>
    </font>
    <font>
      <sz val="9.000000"/>
    </font>
    <font>
      <sz val="8.000000"/>
    </font>
    <font>
      <b/>
      <color rgb="FF006100"/>
    </font>
    <font>
      <sz val="8.000000"/>
      <color rgb="FF9C0006"/>
    </font>
    <font>
      <b/>
      <sz val="9.000000"/>
    </font>
    <font>
      <b/>
      <color rgb="FF1A365D"/>
    </font>
    <font>
      <color rgb="FF9C6500"/>
    </font>
    <font>
      <b/>
      <sz val="11.000000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solid">
        <fgColor indexed="26"/>
        <bgColor indexed="26"/>
      </patternFill>
    </fill>
    <fill>
      <patternFill patternType="solid">
        <fgColor rgb="FFFFC7CE"/>
        <bgColor rgb="FFFFC7CE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indexed="47"/>
        <bgColor indexed="47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1A365D"/>
        <bgColor rgb="FF1A365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EBF2FA"/>
        <bgColor rgb="FFEBF2FA"/>
      </patternFill>
    </fill>
    <fill>
      <patternFill patternType="solid">
        <fgColor rgb="FFFFEB9C"/>
        <bgColor rgb="FFFFEB9C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ck">
        <color rgb="FF1A365D"/>
      </left>
      <right style="none"/>
      <top style="none"/>
      <bottom style="none"/>
      <diagonal style="none"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 style="none"/>
    </border>
    <border>
      <left style="hair">
        <color theme="1"/>
      </left>
      <right style="hair">
        <color theme="1"/>
      </right>
      <top style="hair">
        <color theme="1"/>
      </top>
      <bottom style="none"/>
      <diagonal style="none"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 style="none"/>
    </border>
    <border>
      <left style="thin">
        <color rgb="FFB2B2B2"/>
      </left>
      <right style="none"/>
      <top style="none"/>
      <bottom style="none"/>
      <diagonal style="none"/>
    </border>
    <border>
      <left style="none"/>
      <right style="none"/>
      <top style="thin">
        <color rgb="FFB2B2B2"/>
      </top>
      <bottom style="thin">
        <color rgb="FFB2B2B2"/>
      </bottom>
      <diagonal style="none"/>
    </border>
    <border>
      <left style="none"/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hair">
        <color theme="1"/>
      </top>
      <bottom style="hair">
        <color theme="1"/>
      </bottom>
      <diagonal style="none"/>
    </border>
    <border>
      <left style="hair">
        <color theme="1"/>
      </left>
      <right style="hair">
        <color theme="1"/>
      </right>
      <top style="none"/>
      <bottom style="none"/>
      <diagonal style="none"/>
    </border>
    <border>
      <left style="hair">
        <color theme="1"/>
      </left>
      <right style="hair">
        <color theme="1"/>
      </right>
      <top style="none"/>
      <bottom style="hair">
        <color theme="1"/>
      </bottom>
      <diagonal style="none"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 style="none"/>
    </border>
  </borders>
  <cellStyleXfs count="10">
    <xf fontId="0" fillId="2" borderId="0" numFmtId="0" applyNumberFormat="1" applyFont="1" applyFill="1" applyBorder="1"/>
    <xf fontId="0" fillId="3" borderId="1" numFmtId="0" applyNumberFormat="1" applyFont="1" applyFill="1" applyBorder="1"/>
    <xf fontId="1" fillId="2" borderId="0" numFmtId="0" applyNumberFormat="1" applyFont="1" applyFill="1" applyBorder="1"/>
    <xf fontId="2" fillId="3" borderId="1" numFmtId="0" applyNumberFormat="1" applyFont="1" applyFill="1" applyBorder="1"/>
    <xf fontId="3" fillId="4" borderId="0" numFmtId="0" applyNumberFormat="1" applyFont="1" applyFill="1" applyBorder="1"/>
    <xf fontId="4" fillId="5" borderId="0" numFmtId="0" applyNumberFormat="1" applyFont="1" applyFill="1" applyBorder="1"/>
    <xf fontId="4" fillId="6" borderId="0" numFmtId="0" applyNumberFormat="1" applyFont="1" applyFill="1" applyBorder="1"/>
    <xf fontId="5" fillId="7" borderId="2" numFmtId="0" applyNumberFormat="1" applyFont="1" applyFill="1" applyBorder="1"/>
    <xf fontId="6" fillId="8" borderId="0" numFmtId="0" applyNumberFormat="1" applyFont="1" applyFill="1" applyBorder="1"/>
    <xf fontId="7" fillId="2" borderId="0" numFmtId="0" applyNumberFormat="1" applyFont="1" applyFill="1" applyBorder="1"/>
  </cellStyleXfs>
  <cellXfs count="78">
    <xf fontId="0" fillId="0" borderId="0" numFmtId="0" xfId="0" quotePrefix="0" pivotButton="0"/>
    <xf fontId="0" fillId="0" borderId="0" numFmtId="0" xfId="0" quotePrefix="0" pivotButton="0"/>
    <xf fontId="8" fillId="0" borderId="0" numFmtId="0" xfId="0" applyFont="1" quotePrefix="0" pivotButton="0"/>
    <xf fontId="9" fillId="0" borderId="0" numFmtId="0" xfId="0" applyFont="1" quotePrefix="0" pivotButton="0"/>
    <xf fontId="10" fillId="0" borderId="0" numFmtId="0" xfId="0" applyFont="1" quotePrefix="0" pivotButton="0"/>
    <xf fontId="11" fillId="0" borderId="3" numFmtId="0" xfId="0" applyFont="1" applyBorder="1" quotePrefix="0" pivotButton="0"/>
    <xf fontId="12" fillId="0" borderId="0" numFmtId="0" xfId="0" applyFont="1" applyAlignment="1" quotePrefix="0" pivotButton="0">
      <alignment vertical="top" wrapText="1"/>
    </xf>
    <xf fontId="13" fillId="0" borderId="0" numFmtId="0" xfId="0" applyFont="1" applyAlignment="1" quotePrefix="0" pivotButton="0">
      <alignment vertical="top" wrapText="1"/>
    </xf>
    <xf fontId="14" fillId="0" borderId="0" numFmtId="0" xfId="0" applyFont="1" quotePrefix="0" pivotButton="0"/>
    <xf fontId="15" fillId="0" borderId="4" numFmtId="0" xfId="0" applyFont="1" applyBorder="1" applyAlignment="1" quotePrefix="0" pivotButton="0">
      <alignment horizontal="center" vertical="top"/>
    </xf>
    <xf fontId="3" fillId="4" borderId="4" numFmtId="0" xfId="4" applyFont="1" applyFill="1" applyBorder="1" quotePrefix="0" pivotButton="0"/>
    <xf fontId="3" fillId="4" borderId="4" numFmtId="160" xfId="4" applyNumberFormat="1" applyFont="1" applyFill="1" applyBorder="1" quotePrefix="0" pivotButton="0"/>
    <xf fontId="0" fillId="0" borderId="5" numFmtId="0" xfId="0" applyBorder="1" quotePrefix="0" pivotButton="0"/>
    <xf fontId="16" fillId="0" borderId="6" numFmtId="160" xfId="0" applyNumberFormat="1" applyFont="1" applyBorder="1" applyAlignment="1" quotePrefix="0" pivotButton="0">
      <alignment horizontal="left" vertical="center" wrapText="1"/>
    </xf>
    <xf fontId="16" fillId="0" borderId="6" numFmtId="0" xfId="0" applyFont="1" applyBorder="1" applyAlignment="1" quotePrefix="0" pivotButton="0">
      <alignment horizontal="left" vertical="center" wrapText="1"/>
    </xf>
    <xf fontId="0" fillId="0" borderId="0" numFmtId="160" xfId="0" applyNumberFormat="1" quotePrefix="0" pivotButton="0"/>
    <xf fontId="15" fillId="3" borderId="7" numFmtId="160" xfId="3" applyNumberFormat="1" applyFont="1" applyFill="1" applyBorder="1" applyAlignment="1" quotePrefix="0" pivotButton="0">
      <alignment horizontal="left"/>
    </xf>
    <xf fontId="0" fillId="0" borderId="4" numFmtId="0" xfId="0" applyBorder="1" quotePrefix="0" pivotButton="0"/>
    <xf fontId="0" fillId="0" borderId="4" numFmtId="160" xfId="0" applyNumberFormat="1" applyBorder="1" quotePrefix="0" pivotButton="0"/>
    <xf fontId="1" fillId="0" borderId="4" numFmtId="0" xfId="0" applyFont="1" applyBorder="1" applyAlignment="1" quotePrefix="0" pivotButton="0">
      <alignment horizontal="left"/>
    </xf>
    <xf fontId="3" fillId="4" borderId="4" numFmtId="49" xfId="4" applyNumberFormat="1" applyFont="1" applyFill="1" applyBorder="1" quotePrefix="0" pivotButton="0"/>
    <xf fontId="17" fillId="0" borderId="4" numFmtId="0" xfId="0" applyFont="1" applyBorder="1" applyAlignment="1" quotePrefix="0" pivotButton="0">
      <alignment horizontal="center" vertical="center" wrapText="1"/>
    </xf>
    <xf fontId="3" fillId="4" borderId="4" numFmtId="0" xfId="4" applyFont="1" applyFill="1" applyBorder="1" applyAlignment="1" quotePrefix="0" pivotButton="0">
      <alignment horizontal="left" vertical="center" wrapText="1"/>
    </xf>
    <xf fontId="17" fillId="0" borderId="4" numFmtId="0" xfId="0" applyFont="1" applyBorder="1" applyAlignment="1" quotePrefix="0" pivotButton="0">
      <alignment horizontal="left" wrapText="1"/>
    </xf>
    <xf fontId="18" fillId="0" borderId="4" numFmtId="0" xfId="0" applyFont="1" applyBorder="1" applyAlignment="1" quotePrefix="0" pivotButton="0">
      <alignment horizontal="left" vertical="center" wrapText="1"/>
    </xf>
    <xf fontId="3" fillId="4" borderId="4" numFmtId="49" xfId="4" applyNumberFormat="1" applyFont="1" applyFill="1" applyBorder="1" applyAlignment="1" quotePrefix="0" pivotButton="0">
      <alignment wrapText="1"/>
    </xf>
    <xf fontId="3" fillId="4" borderId="4" numFmtId="0" xfId="4" applyFont="1" applyFill="1" applyBorder="1" applyAlignment="1" quotePrefix="0" pivotButton="0">
      <alignment horizontal="left" wrapText="1"/>
    </xf>
    <xf fontId="18" fillId="0" borderId="4" numFmtId="160" xfId="0" applyNumberFormat="1" applyFont="1" applyBorder="1" applyAlignment="1" quotePrefix="0" pivotButton="0">
      <alignment horizontal="left" vertical="center" wrapText="1"/>
    </xf>
    <xf fontId="18" fillId="0" borderId="4" numFmtId="49" xfId="0" applyNumberFormat="1" applyFont="1" applyBorder="1" applyAlignment="1" quotePrefix="0" pivotButton="0">
      <alignment horizontal="left" vertical="center" wrapText="1"/>
    </xf>
    <xf fontId="1" fillId="0" borderId="4" numFmtId="0" xfId="2" applyFont="1" applyBorder="1" applyAlignment="1" quotePrefix="0" pivotButton="0">
      <alignment horizontal="left" vertical="center" wrapText="1"/>
    </xf>
    <xf fontId="0" fillId="0" borderId="0" numFmtId="49" xfId="0" applyNumberFormat="1" quotePrefix="0" pivotButton="0"/>
    <xf fontId="15" fillId="3" borderId="1" numFmtId="0" xfId="3" applyFont="1" applyFill="1" applyBorder="1" applyAlignment="1" quotePrefix="0" pivotButton="0">
      <alignment horizontal="left"/>
    </xf>
    <xf fontId="0" fillId="0" borderId="8" numFmtId="0" xfId="0" applyBorder="1" quotePrefix="0" pivotButton="0"/>
    <xf fontId="0" fillId="0" borderId="9" numFmtId="0" xfId="0" applyBorder="1" quotePrefix="0" pivotButton="0"/>
    <xf fontId="15" fillId="0" borderId="10" numFmtId="0" xfId="0" applyFont="1" applyBorder="1" applyAlignment="1" quotePrefix="0" pivotButton="0">
      <alignment horizontal="center" vertical="top"/>
    </xf>
    <xf fontId="2" fillId="9" borderId="10" numFmtId="0" xfId="4" applyFont="1" applyFill="1" applyBorder="1" quotePrefix="0" pivotButton="0"/>
    <xf fontId="3" fillId="4" borderId="10" numFmtId="0" xfId="4" applyFont="1" applyFill="1" applyBorder="1" quotePrefix="0" pivotButton="0"/>
    <xf fontId="2" fillId="9" borderId="4" numFmtId="0" xfId="4" applyFont="1" applyFill="1" applyBorder="1" quotePrefix="0" pivotButton="0"/>
    <xf fontId="15" fillId="3" borderId="7" numFmtId="0" xfId="3" applyFont="1" applyFill="1" applyBorder="1" quotePrefix="0" pivotButton="0"/>
    <xf fontId="15" fillId="3" borderId="0" numFmtId="0" xfId="3" applyFont="1" applyFill="1" quotePrefix="0" pivotButton="0"/>
    <xf fontId="15" fillId="3" borderId="7" numFmtId="0" xfId="3" applyFont="1" applyFill="1" applyBorder="1" applyAlignment="1" quotePrefix="0" pivotButton="0">
      <alignment horizontal="left"/>
    </xf>
    <xf fontId="3" fillId="4" borderId="4" numFmtId="49" xfId="4" applyNumberFormat="1" applyFont="1" applyFill="1" applyBorder="1" quotePrefix="1" pivotButton="0"/>
    <xf fontId="3" fillId="4" borderId="4" numFmtId="0" xfId="4" applyFont="1" applyFill="1" applyBorder="1" applyAlignment="1" quotePrefix="0" pivotButton="0">
      <alignment horizontal="left"/>
    </xf>
    <xf fontId="0" fillId="0" borderId="4" numFmtId="160" xfId="0" applyNumberFormat="1" applyBorder="1" applyAlignment="1" quotePrefix="0" pivotButton="0">
      <alignment horizontal="left"/>
    </xf>
    <xf fontId="0" fillId="0" borderId="4" numFmtId="0" xfId="0" applyBorder="1" applyAlignment="1" quotePrefix="0" pivotButton="0">
      <alignment horizontal="left"/>
    </xf>
    <xf fontId="0" fillId="0" borderId="11" numFmtId="0" xfId="0" applyBorder="1" quotePrefix="0" pivotButton="0"/>
    <xf fontId="0" fillId="0" borderId="12" numFmtId="0" xfId="0" applyBorder="1" quotePrefix="0" pivotButton="0"/>
    <xf fontId="17" fillId="0" borderId="13" numFmtId="0" xfId="0" applyFont="1" applyBorder="1" applyAlignment="1" quotePrefix="0" pivotButton="0">
      <alignment horizontal="left" wrapText="1"/>
    </xf>
    <xf fontId="19" fillId="0" borderId="4" numFmtId="0" xfId="0" applyFont="1" applyBorder="1" applyAlignment="1" quotePrefix="0" pivotButton="0">
      <alignment horizontal="left" wrapText="1"/>
    </xf>
    <xf fontId="3" fillId="4" borderId="4" numFmtId="49" xfId="4" applyNumberFormat="1" applyFont="1" applyFill="1" applyBorder="1" applyAlignment="1" quotePrefix="0" pivotButton="0">
      <alignment horizontal="left" vertical="center" wrapText="1"/>
    </xf>
    <xf fontId="20" fillId="0" borderId="4" numFmtId="0" xfId="0" applyFont="1" applyBorder="1" applyAlignment="1" quotePrefix="0" pivotButton="0">
      <alignment horizontal="left" vertical="center"/>
    </xf>
    <xf fontId="20" fillId="0" borderId="4" numFmtId="0" xfId="0" applyFont="1" applyBorder="1" applyAlignment="1" quotePrefix="0" pivotButton="0">
      <alignment horizontal="left" vertical="center" wrapText="1"/>
    </xf>
    <xf fontId="20" fillId="0" borderId="4" numFmtId="49" xfId="0" applyNumberFormat="1" applyFont="1" applyBorder="1" applyAlignment="1" quotePrefix="0" pivotButton="0">
      <alignment horizontal="left" vertical="center"/>
    </xf>
    <xf fontId="21" fillId="0" borderId="4" numFmtId="0" xfId="2" applyFont="1" applyBorder="1" applyAlignment="1" quotePrefix="0" pivotButton="0">
      <alignment horizontal="left" vertical="center"/>
    </xf>
    <xf fontId="3" fillId="4" borderId="4" numFmtId="161" xfId="4" applyNumberFormat="1" applyFont="1" applyFill="1" applyBorder="1" applyAlignment="1" quotePrefix="0" pivotButton="0">
      <alignment horizontal="left" vertical="center" wrapText="1"/>
    </xf>
    <xf fontId="1" fillId="0" borderId="4" numFmtId="0" xfId="2" applyFont="1" applyBorder="1" applyAlignment="1" quotePrefix="0" pivotButton="0">
      <alignment horizontal="left" vertical="center"/>
    </xf>
    <xf fontId="18" fillId="0" borderId="4" numFmtId="161" xfId="0" applyNumberFormat="1" applyFont="1" applyBorder="1" applyAlignment="1" quotePrefix="0" pivotButton="0">
      <alignment horizontal="left" vertical="center" wrapText="1"/>
    </xf>
    <xf fontId="21" fillId="0" borderId="4" numFmtId="0" xfId="0" applyFont="1" applyBorder="1" applyAlignment="1" quotePrefix="0" pivotButton="0">
      <alignment horizontal="left" vertical="center" wrapText="1"/>
    </xf>
    <xf fontId="22" fillId="0" borderId="4" numFmtId="0" xfId="0" applyFont="1" applyBorder="1" applyAlignment="1" quotePrefix="0" pivotButton="0">
      <alignment horizontal="center" vertical="center" wrapText="1"/>
    </xf>
    <xf fontId="2" fillId="9" borderId="4" numFmtId="0" xfId="4" applyFont="1" applyFill="1" applyBorder="1" applyAlignment="1" quotePrefix="0" pivotButton="0">
      <alignment horizontal="left" vertical="center" wrapText="1"/>
    </xf>
    <xf fontId="3" fillId="4" borderId="1" numFmtId="0" xfId="4" applyFont="1" applyFill="1" applyBorder="1" applyAlignment="1" quotePrefix="0" pivotButton="0">
      <alignment horizontal="left" vertical="center" wrapText="1"/>
    </xf>
    <xf fontId="23" fillId="0" borderId="0" numFmtId="0" xfId="0" applyFont="1" quotePrefix="0" pivotButton="0"/>
    <xf fontId="24" fillId="0" borderId="0" numFmtId="0" xfId="0" applyFont="1" quotePrefix="0" pivotButton="0"/>
    <xf fontId="25" fillId="10" borderId="14" numFmtId="0" xfId="0" applyFont="1" applyFill="1" applyBorder="1" applyAlignment="1" quotePrefix="0" pivotButton="0">
      <alignment horizontal="center" vertical="center" wrapText="1"/>
    </xf>
    <xf fontId="26" fillId="0" borderId="14" numFmtId="0" xfId="0" applyFont="1" applyBorder="1" quotePrefix="0" pivotButton="0"/>
    <xf fontId="27" fillId="0" borderId="14" numFmtId="0" xfId="0" applyFont="1" applyBorder="1" applyAlignment="1" quotePrefix="0" pivotButton="0">
      <alignment vertical="top" wrapText="1"/>
    </xf>
    <xf fontId="28" fillId="0" borderId="14" numFmtId="0" xfId="0" applyFont="1" applyBorder="1" applyAlignment="1" quotePrefix="0" pivotButton="0">
      <alignment horizontal="center" vertical="center" wrapText="1"/>
    </xf>
    <xf fontId="29" fillId="11" borderId="14" numFmtId="0" xfId="0" applyFont="1" applyFill="1" applyBorder="1" applyAlignment="1" quotePrefix="0" pivotButton="0">
      <alignment horizontal="center" vertical="center" wrapText="1"/>
    </xf>
    <xf fontId="30" fillId="12" borderId="14" numFmtId="0" xfId="0" applyFont="1" applyFill="1" applyBorder="1" applyAlignment="1" quotePrefix="0" pivotButton="0">
      <alignment horizontal="center" vertical="center" wrapText="1"/>
    </xf>
    <xf fontId="31" fillId="13" borderId="14" numFmtId="0" xfId="0" applyFont="1" applyFill="1" applyBorder="1" quotePrefix="0" pivotButton="0"/>
    <xf fontId="32" fillId="13" borderId="14" numFmtId="0" xfId="0" applyFont="1" applyFill="1" applyBorder="1" quotePrefix="0" pivotButton="0"/>
    <xf fontId="0" fillId="13" borderId="14" numFmtId="0" xfId="0" applyFill="1" applyBorder="1" quotePrefix="0" pivotButton="0"/>
    <xf fontId="33" fillId="14" borderId="14" numFmtId="0" xfId="0" applyFont="1" applyFill="1" applyBorder="1" applyAlignment="1" quotePrefix="0" pivotButton="0">
      <alignment horizontal="center" vertical="center" wrapText="1"/>
    </xf>
    <xf fontId="34" fillId="9" borderId="4" numFmtId="0" xfId="4" applyFont="1" applyFill="1" applyBorder="1" applyAlignment="1" quotePrefix="0" pivotButton="0">
      <alignment horizontal="left" vertical="center" wrapText="1"/>
    </xf>
    <xf fontId="0" fillId="0" borderId="0" numFmtId="0" xfId="0" quotePrefix="0" pivotButton="0">
      <protection hidden="0" locked="1"/>
    </xf>
    <xf fontId="0" fillId="0" borderId="0" numFmtId="0" xfId="0" applyAlignment="1" quotePrefix="0" pivotButton="0">
      <alignment wrapText="1"/>
      <protection hidden="0" locked="1"/>
    </xf>
    <xf fontId="0" fillId="0" borderId="0" numFmtId="0" xfId="0" applyAlignment="1" quotePrefix="0" pivotButton="0">
      <alignment wrapText="1"/>
      <protection hidden="0" locked="1"/>
    </xf>
    <xf fontId="0" fillId="0" borderId="0" numFmtId="0" xfId="0" quotePrefix="0" pivotButton="0">
      <protection hidden="0" locked="1"/>
    </xf>
  </cellXfs>
  <cellStyles count="10">
    <cellStyle name="Normal" xfId="0" builtinId="0"/>
    <cellStyle name="Excel Built-in Note" xfId="1"/>
    <cellStyle name="Hipervínculo" xfId="2" builtinId="8"/>
    <cellStyle name="Notas" xfId="3" builtinId="10"/>
    <cellStyle name="Bad" xfId="4" builtinId="27"/>
    <cellStyle name="Accent1" xfId="5" builtinId="29"/>
    <cellStyle name="Accent5" xfId="6" builtinId="45"/>
    <cellStyle name="Input" xfId="7" builtinId="20"/>
    <cellStyle name="Good" xfId="8" builtinId="26"/>
    <cellStyle name="Explanatory Text" xfId="9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sharedStrings" Target="sharedStrings.xml"/><Relationship  Id="rId17" Type="http://schemas.openxmlformats.org/officeDocument/2006/relationships/theme" Target="theme/theme1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19" Type="http://schemas.openxmlformats.org/officeDocument/2006/relationships/styles" Target="styles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hyperlink" Target="mailto:direccion@atraviaflorida.cl" TargetMode="Externa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hyperlink" Target="http://emailapoderado@almai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style="1" width="3"/>
    <col customWidth="1" min="2" max="2" style="1" width="34"/>
    <col customWidth="1" min="3" max="3" style="1" width="70"/>
  </cols>
  <sheetData>
    <row r="2" ht="26.25">
      <c r="B2" s="2" t="s">
        <v>0</v>
      </c>
    </row>
    <row r="3" ht="16.5">
      <c r="B3" s="3" t="s">
        <v>1</v>
      </c>
    </row>
    <row r="4">
      <c r="B4" s="4" t="s">
        <v>2</v>
      </c>
    </row>
    <row r="6" ht="16.5">
      <c r="B6" s="5" t="s">
        <v>3</v>
      </c>
    </row>
    <row r="7" ht="54">
      <c r="C7" s="6" t="s">
        <v>4</v>
      </c>
    </row>
    <row r="9" ht="16.5">
      <c r="B9" s="5" t="s">
        <v>5</v>
      </c>
    </row>
    <row r="10">
      <c r="B10" s="7" t="s">
        <v>6</v>
      </c>
      <c r="C10" s="6" t="s">
        <v>7</v>
      </c>
    </row>
    <row r="11" ht="27">
      <c r="B11" s="7" t="s">
        <v>8</v>
      </c>
      <c r="C11" s="6" t="s">
        <v>9</v>
      </c>
    </row>
    <row r="12">
      <c r="B12" s="7" t="s">
        <v>10</v>
      </c>
      <c r="C12" s="6" t="s">
        <v>11</v>
      </c>
    </row>
    <row r="14" ht="16.5">
      <c r="B14" s="5" t="s">
        <v>12</v>
      </c>
    </row>
    <row r="15">
      <c r="B15" s="7" t="s">
        <v>13</v>
      </c>
      <c r="C15" s="7" t="s">
        <v>14</v>
      </c>
    </row>
    <row r="16">
      <c r="B16" s="7" t="s">
        <v>15</v>
      </c>
      <c r="C16" s="6" t="s">
        <v>16</v>
      </c>
    </row>
    <row r="17">
      <c r="B17" s="7" t="s">
        <v>17</v>
      </c>
      <c r="C17" s="6" t="s">
        <v>18</v>
      </c>
    </row>
    <row r="18">
      <c r="B18" s="7" t="s">
        <v>19</v>
      </c>
      <c r="C18" s="6" t="s">
        <v>20</v>
      </c>
    </row>
    <row r="19">
      <c r="B19" s="7" t="s">
        <v>21</v>
      </c>
      <c r="C19" s="6" t="s">
        <v>22</v>
      </c>
    </row>
    <row r="20" ht="27">
      <c r="B20" s="7" t="s">
        <v>23</v>
      </c>
      <c r="C20" s="6" t="s">
        <v>24</v>
      </c>
    </row>
    <row r="22" ht="16.5">
      <c r="B22" s="5" t="s">
        <v>25</v>
      </c>
    </row>
    <row r="23" ht="27">
      <c r="B23" s="7" t="s">
        <v>26</v>
      </c>
      <c r="C23" s="7" t="s">
        <v>27</v>
      </c>
    </row>
    <row r="24">
      <c r="B24" s="7" t="s">
        <v>28</v>
      </c>
      <c r="C24" s="7" t="s">
        <v>29</v>
      </c>
    </row>
    <row r="26" ht="16.5">
      <c r="B26" s="5" t="s">
        <v>30</v>
      </c>
    </row>
    <row r="27" ht="67.5">
      <c r="C27" s="6" t="s">
        <v>31</v>
      </c>
    </row>
    <row r="29" ht="16.5">
      <c r="B29" s="5" t="s">
        <v>32</v>
      </c>
    </row>
    <row r="30" ht="40.5">
      <c r="C30" s="6" t="s">
        <v>33</v>
      </c>
    </row>
    <row r="32">
      <c r="B32" s="8" t="s">
        <v>34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B2" activeCellId="0" sqref="B2"/>
    </sheetView>
  </sheetViews>
  <sheetFormatPr baseColWidth="10" defaultColWidth="8.54296875" defaultRowHeight="14.25"/>
  <cols>
    <col customWidth="1" min="1" max="1" style="1" width="15.26953125"/>
    <col customWidth="1" min="2" max="2" style="1" width="21.453125"/>
    <col customWidth="1" min="3" max="3" style="1" width="20.26953125"/>
  </cols>
  <sheetData>
    <row r="1">
      <c r="A1" s="9" t="s">
        <v>35</v>
      </c>
      <c r="B1" s="9" t="s">
        <v>36</v>
      </c>
      <c r="C1" s="9" t="s">
        <v>37</v>
      </c>
    </row>
    <row r="2">
      <c r="A2" s="10">
        <v>2026</v>
      </c>
      <c r="B2" s="11">
        <v>45721</v>
      </c>
      <c r="C2" s="11">
        <v>46010</v>
      </c>
    </row>
    <row r="7" ht="14.25" customHeight="1"/>
    <row r="8" ht="14.25" customHeight="1"/>
    <row r="9" ht="14.25" customHeight="1"/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B16" activeCellId="0" sqref="B16"/>
    </sheetView>
  </sheetViews>
  <sheetFormatPr baseColWidth="10" defaultColWidth="8.54296875" defaultRowHeight="14.25"/>
  <cols>
    <col customWidth="1" min="1" max="1" style="1" width="12.7109375"/>
    <col customWidth="1" min="2" max="2" style="1" width="55.7109375"/>
    <col customWidth="1" min="9" max="9" style="1" width="17.421875"/>
  </cols>
  <sheetData>
    <row r="1">
      <c r="A1" s="12" t="s">
        <v>38</v>
      </c>
      <c r="B1" s="12" t="s">
        <v>39</v>
      </c>
    </row>
    <row r="2" ht="16.199999999999999" customHeight="1">
      <c r="A2" s="13">
        <v>46023</v>
      </c>
      <c r="B2" s="14" t="s">
        <v>40</v>
      </c>
    </row>
    <row r="3" ht="16.199999999999999" customHeight="1">
      <c r="A3" s="13">
        <v>46115</v>
      </c>
      <c r="B3" s="14" t="s">
        <v>41</v>
      </c>
    </row>
    <row r="4" ht="16.199999999999999" customHeight="1">
      <c r="A4" s="13">
        <v>46116</v>
      </c>
      <c r="B4" s="14" t="s">
        <v>42</v>
      </c>
    </row>
    <row r="5" ht="16.199999999999999" customHeight="1">
      <c r="A5" s="13">
        <v>46143</v>
      </c>
      <c r="B5" s="14" t="s">
        <v>43</v>
      </c>
    </row>
    <row r="6" ht="16.199999999999999" customHeight="1">
      <c r="A6" s="13">
        <v>46163</v>
      </c>
      <c r="B6" s="14" t="s">
        <v>44</v>
      </c>
    </row>
    <row r="7" ht="16.199999999999999" customHeight="1">
      <c r="A7" s="13">
        <v>46195</v>
      </c>
      <c r="B7" s="14" t="s">
        <v>45</v>
      </c>
    </row>
    <row r="8" ht="16.199999999999999" customHeight="1">
      <c r="A8" s="13">
        <v>46202</v>
      </c>
      <c r="B8" s="14" t="s">
        <v>46</v>
      </c>
    </row>
    <row r="9" ht="16.199999999999999" customHeight="1">
      <c r="A9" s="13">
        <v>46219</v>
      </c>
      <c r="B9" s="14" t="s">
        <v>47</v>
      </c>
    </row>
    <row r="10" ht="16.199999999999999" customHeight="1">
      <c r="A10" s="13">
        <v>46249</v>
      </c>
      <c r="B10" s="14" t="s">
        <v>48</v>
      </c>
    </row>
    <row r="11" ht="16.199999999999999" customHeight="1">
      <c r="A11" s="13">
        <v>46283</v>
      </c>
      <c r="B11" s="14" t="s">
        <v>49</v>
      </c>
    </row>
    <row r="12" ht="16.199999999999999" customHeight="1">
      <c r="A12" s="13">
        <v>46284</v>
      </c>
      <c r="B12" s="14" t="s">
        <v>50</v>
      </c>
    </row>
    <row r="13" ht="16.199999999999999" customHeight="1">
      <c r="A13" s="13">
        <v>46285</v>
      </c>
      <c r="B13" s="14" t="s">
        <v>51</v>
      </c>
    </row>
    <row r="14" ht="16.199999999999999" customHeight="1">
      <c r="A14" s="13">
        <v>46307</v>
      </c>
      <c r="B14" s="14" t="s">
        <v>52</v>
      </c>
    </row>
    <row r="15" ht="16.199999999999999" customHeight="1">
      <c r="A15" s="13">
        <v>46325</v>
      </c>
      <c r="B15" s="14" t="s">
        <v>53</v>
      </c>
    </row>
    <row r="16" ht="16.199999999999999" customHeight="1">
      <c r="A16" s="13">
        <v>46327</v>
      </c>
      <c r="B16" s="14" t="s">
        <v>54</v>
      </c>
    </row>
    <row r="17" ht="16.199999999999999" customHeight="1">
      <c r="A17" s="13">
        <v>46364</v>
      </c>
      <c r="B17" s="14" t="s">
        <v>55</v>
      </c>
    </row>
    <row r="18" ht="16.199999999999999" customHeight="1">
      <c r="A18" s="13">
        <v>46381</v>
      </c>
      <c r="B18" s="14" t="s">
        <v>56</v>
      </c>
    </row>
    <row r="19" ht="14.25" customHeight="1">
      <c r="A19" s="15"/>
    </row>
    <row r="20">
      <c r="A20" s="15"/>
    </row>
    <row r="21" ht="14.25" customHeight="1">
      <c r="A21" s="16" t="s">
        <v>57</v>
      </c>
    </row>
  </sheetData>
  <mergeCells count="1">
    <mergeCell ref="A21:I21"/>
  </mergeCells>
  <printOptions headings="0" gridLines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B10" activeCellId="0" sqref="B10"/>
    </sheetView>
  </sheetViews>
  <sheetFormatPr baseColWidth="10" defaultColWidth="8.54296875" defaultRowHeight="14.25"/>
  <cols>
    <col customWidth="1" min="1" max="1" style="1" width="10.54296875"/>
    <col customWidth="1" min="2" max="2" style="1" width="20.453125"/>
    <col customWidth="1" min="3" max="3" style="1" width="47.81640625"/>
  </cols>
  <sheetData>
    <row r="1">
      <c r="A1" s="17" t="s">
        <v>38</v>
      </c>
      <c r="B1" s="17" t="s">
        <v>58</v>
      </c>
      <c r="C1" s="17" t="s">
        <v>39</v>
      </c>
    </row>
    <row r="2">
      <c r="A2" s="18">
        <v>46085</v>
      </c>
      <c r="B2" s="17" t="s">
        <v>59</v>
      </c>
      <c r="C2" s="17" t="s">
        <v>60</v>
      </c>
    </row>
    <row r="3">
      <c r="A3" s="18">
        <v>46115</v>
      </c>
      <c r="B3" s="17" t="s">
        <v>61</v>
      </c>
      <c r="C3" s="17" t="s">
        <v>62</v>
      </c>
    </row>
    <row r="4">
      <c r="A4" s="18">
        <v>46216</v>
      </c>
      <c r="B4" s="17" t="s">
        <v>63</v>
      </c>
      <c r="C4" s="17" t="s">
        <v>64</v>
      </c>
    </row>
    <row r="5">
      <c r="A5" s="18">
        <v>46282</v>
      </c>
      <c r="B5" s="17" t="s">
        <v>65</v>
      </c>
      <c r="C5" s="17" t="s">
        <v>66</v>
      </c>
    </row>
    <row r="6">
      <c r="A6" s="18">
        <v>46311</v>
      </c>
      <c r="B6" s="17" t="s">
        <v>67</v>
      </c>
      <c r="C6" s="17" t="s">
        <v>68</v>
      </c>
    </row>
    <row r="7">
      <c r="A7" s="18">
        <v>46374</v>
      </c>
      <c r="B7" s="17" t="s">
        <v>69</v>
      </c>
      <c r="C7" s="17" t="s">
        <v>70</v>
      </c>
    </row>
  </sheetData>
  <printOptions headings="0" gridLines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L1" zoomScale="100" workbookViewId="0">
      <selection activeCell="O2" activeCellId="0" sqref="O2"/>
    </sheetView>
  </sheetViews>
  <sheetFormatPr baseColWidth="10" defaultColWidth="8.54296875" defaultRowHeight="14.25"/>
  <cols>
    <col customWidth="1" min="1" max="1" style="1" width="12.453125"/>
    <col customWidth="1" min="2" max="2" style="1" width="17.81640625"/>
    <col bestFit="1" customWidth="1" min="3" max="3" style="1" width="29.28125"/>
    <col customWidth="1" min="4" max="4" style="1" width="26.453125"/>
    <col customWidth="1" min="5" max="5" style="1" width="38.453125"/>
    <col customWidth="1" min="6" max="6" style="1" width="17.81640625"/>
    <col customWidth="1" min="7" max="8" style="1" width="19.26953125"/>
    <col customWidth="1" min="9" max="10" style="1" width="21.81640625"/>
    <col customWidth="1" min="11" max="11" style="1" width="23.453125"/>
    <col customWidth="1" min="12" max="14" style="1" width="17.81640625"/>
    <col customWidth="1" min="15" max="15" style="1" width="20.1796875"/>
  </cols>
  <sheetData>
    <row r="1">
      <c r="A1" s="9" t="s">
        <v>71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76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  <c r="L1" s="9" t="s">
        <v>82</v>
      </c>
      <c r="M1" s="9" t="s">
        <v>83</v>
      </c>
      <c r="N1" s="9" t="s">
        <v>84</v>
      </c>
      <c r="O1" s="9" t="s">
        <v>85</v>
      </c>
    </row>
    <row r="2">
      <c r="A2" s="17">
        <v>1</v>
      </c>
      <c r="B2" s="10" t="s">
        <v>86</v>
      </c>
      <c r="C2" s="17" t="s">
        <v>87</v>
      </c>
      <c r="D2" s="10" t="s">
        <v>88</v>
      </c>
      <c r="E2" s="17" t="s">
        <v>89</v>
      </c>
      <c r="F2" s="10" t="s">
        <v>90</v>
      </c>
      <c r="G2" s="17"/>
      <c r="H2" s="19"/>
      <c r="I2" s="10"/>
      <c r="J2" s="20"/>
      <c r="K2" s="10"/>
      <c r="L2" s="10" t="s">
        <v>91</v>
      </c>
      <c r="M2" s="10" t="s">
        <v>92</v>
      </c>
      <c r="N2" s="10" t="s">
        <v>93</v>
      </c>
      <c r="O2" s="10" t="s">
        <v>94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6" activeCellId="0" sqref="6:6"/>
    </sheetView>
  </sheetViews>
  <sheetFormatPr baseColWidth="10" defaultColWidth="8.54296875" defaultRowHeight="14.25"/>
  <cols>
    <col customWidth="1" min="1" max="1" style="1" width="25.81640625"/>
    <col customWidth="1" min="2" max="2" style="1" width="108.1796875"/>
  </cols>
  <sheetData>
    <row r="1">
      <c r="A1" s="21" t="s">
        <v>95</v>
      </c>
      <c r="B1" s="21" t="s">
        <v>39</v>
      </c>
    </row>
    <row r="2" ht="26.5" customHeight="1">
      <c r="A2" s="22" t="s">
        <v>96</v>
      </c>
      <c r="B2" s="22" t="s">
        <v>97</v>
      </c>
    </row>
    <row r="3" ht="26.5" customHeight="1">
      <c r="A3" s="22" t="s">
        <v>98</v>
      </c>
      <c r="B3" s="22" t="s">
        <v>99</v>
      </c>
    </row>
    <row r="4" ht="26.5" customHeight="1">
      <c r="A4" s="22" t="s">
        <v>100</v>
      </c>
      <c r="B4" s="22" t="s">
        <v>101</v>
      </c>
    </row>
    <row r="5" ht="26.5" customHeight="1">
      <c r="A5" s="22" t="s">
        <v>102</v>
      </c>
      <c r="B5" s="22" t="s">
        <v>103</v>
      </c>
    </row>
    <row r="6" ht="14.25" customHeight="1">
      <c r="A6" s="22" t="s">
        <v>104</v>
      </c>
      <c r="B6" s="22" t="s">
        <v>105</v>
      </c>
    </row>
  </sheetData>
  <printOptions headings="0" gridLines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F1" zoomScale="100" workbookViewId="0">
      <selection activeCell="G4" activeCellId="0" sqref="G4"/>
    </sheetView>
  </sheetViews>
  <sheetFormatPr baseColWidth="10" defaultColWidth="9.1796875" defaultRowHeight="14.25"/>
  <cols>
    <col customWidth="1" min="1" max="1" style="1" width="18"/>
    <col customWidth="1" min="2" max="2" style="1" width="13"/>
    <col customWidth="1" min="3" max="3" style="1" width="12.7265625"/>
    <col customWidth="1" min="4" max="4" style="1" width="13.7265625"/>
    <col bestFit="1" customWidth="1" min="5" max="5" style="1" width="22.7734375"/>
    <col customWidth="1" min="6" max="6" style="1" width="17"/>
    <col customWidth="1" min="7" max="7" style="1" width="9.54296875"/>
    <col customWidth="1" min="8" max="8" style="1" width="17.7265625"/>
    <col customWidth="1" min="9" max="9" style="1" width="10.54296875"/>
    <col customWidth="1" min="10" max="10" style="1" width="19.453125"/>
    <col customWidth="1" min="11" max="11" style="1" width="25.453125"/>
    <col customWidth="1" min="12" max="12" style="1" width="28.54296875"/>
    <col customWidth="1" min="13" max="13" style="1" width="33.81640625"/>
    <col customWidth="1" min="14" max="14" style="1" width="31"/>
  </cols>
  <sheetData>
    <row r="1" ht="24" customHeight="1">
      <c r="A1" s="21" t="s">
        <v>106</v>
      </c>
      <c r="B1" s="21" t="s">
        <v>107</v>
      </c>
      <c r="C1" s="21" t="s">
        <v>72</v>
      </c>
      <c r="D1" s="21" t="s">
        <v>108</v>
      </c>
      <c r="E1" s="23" t="s">
        <v>109</v>
      </c>
      <c r="F1" s="21" t="s">
        <v>110</v>
      </c>
      <c r="G1" s="21" t="s">
        <v>111</v>
      </c>
      <c r="H1" s="21" t="s">
        <v>112</v>
      </c>
      <c r="I1" s="21" t="s">
        <v>113</v>
      </c>
      <c r="J1" s="21" t="s">
        <v>114</v>
      </c>
      <c r="K1" s="21" t="s">
        <v>95</v>
      </c>
      <c r="L1" s="21" t="s">
        <v>115</v>
      </c>
      <c r="M1" s="21" t="s">
        <v>116</v>
      </c>
      <c r="N1" s="21" t="s">
        <v>117</v>
      </c>
    </row>
    <row r="2" ht="19.149999999999999" customHeight="1">
      <c r="A2" s="24">
        <v>1</v>
      </c>
      <c r="B2" s="25" t="s">
        <v>118</v>
      </c>
      <c r="C2" s="26" t="s">
        <v>119</v>
      </c>
      <c r="D2" s="26" t="s">
        <v>120</v>
      </c>
      <c r="E2" s="27" t="s">
        <v>121</v>
      </c>
      <c r="F2" s="24" t="s">
        <v>122</v>
      </c>
      <c r="G2" s="24" t="s">
        <v>123</v>
      </c>
      <c r="H2" s="24" t="s">
        <v>124</v>
      </c>
      <c r="I2" s="24" t="s">
        <v>125</v>
      </c>
      <c r="J2" s="24" t="s">
        <v>126</v>
      </c>
      <c r="K2" s="24" t="s">
        <v>96</v>
      </c>
      <c r="L2" s="28" t="s">
        <v>127</v>
      </c>
      <c r="M2" s="28" t="s">
        <v>128</v>
      </c>
      <c r="N2" s="29" t="s">
        <v>129</v>
      </c>
    </row>
    <row r="3" ht="28.5" customHeight="1">
      <c r="A3" s="24">
        <v>2</v>
      </c>
      <c r="B3" s="25" t="s">
        <v>118</v>
      </c>
      <c r="C3" s="26" t="s">
        <v>130</v>
      </c>
      <c r="D3" s="26" t="s">
        <v>131</v>
      </c>
      <c r="E3" s="27" t="s">
        <v>121</v>
      </c>
      <c r="F3" s="24" t="s">
        <v>122</v>
      </c>
      <c r="G3" s="24" t="s">
        <v>123</v>
      </c>
      <c r="H3" s="24" t="s">
        <v>124</v>
      </c>
      <c r="I3" s="24" t="s">
        <v>132</v>
      </c>
      <c r="J3" s="24" t="s">
        <v>126</v>
      </c>
      <c r="K3" s="24" t="s">
        <v>98</v>
      </c>
      <c r="L3" s="28" t="s">
        <v>127</v>
      </c>
      <c r="M3" s="28" t="s">
        <v>128</v>
      </c>
      <c r="N3" s="29" t="s">
        <v>129</v>
      </c>
    </row>
    <row r="4" ht="28.5" customHeight="1">
      <c r="A4" s="24">
        <v>3</v>
      </c>
      <c r="B4" s="25" t="s">
        <v>118</v>
      </c>
      <c r="C4" s="26" t="s">
        <v>133</v>
      </c>
      <c r="D4" s="26" t="s">
        <v>134</v>
      </c>
      <c r="E4" s="27" t="s">
        <v>121</v>
      </c>
      <c r="F4" s="24" t="s">
        <v>135</v>
      </c>
      <c r="G4" s="24" t="s">
        <v>136</v>
      </c>
      <c r="H4" s="24" t="s">
        <v>124</v>
      </c>
      <c r="I4" s="24" t="s">
        <v>137</v>
      </c>
      <c r="J4" s="24" t="s">
        <v>126</v>
      </c>
      <c r="K4" s="24" t="s">
        <v>100</v>
      </c>
      <c r="L4" s="28" t="s">
        <v>127</v>
      </c>
      <c r="M4" s="28" t="s">
        <v>128</v>
      </c>
      <c r="N4" s="29" t="s">
        <v>129</v>
      </c>
    </row>
    <row r="5" ht="28.5" customHeight="1">
      <c r="A5" s="24">
        <v>4</v>
      </c>
      <c r="B5" s="25" t="s">
        <v>118</v>
      </c>
      <c r="C5" s="26" t="s">
        <v>138</v>
      </c>
      <c r="D5" s="26" t="s">
        <v>139</v>
      </c>
      <c r="E5" s="27" t="s">
        <v>121</v>
      </c>
      <c r="F5" s="24" t="s">
        <v>122</v>
      </c>
      <c r="G5" s="24" t="s">
        <v>123</v>
      </c>
      <c r="H5" s="24" t="s">
        <v>124</v>
      </c>
      <c r="I5" s="24" t="s">
        <v>140</v>
      </c>
      <c r="J5" s="24" t="s">
        <v>126</v>
      </c>
      <c r="K5" s="24" t="s">
        <v>102</v>
      </c>
      <c r="L5" s="28" t="s">
        <v>127</v>
      </c>
      <c r="M5" s="28" t="s">
        <v>128</v>
      </c>
      <c r="N5" s="29" t="s">
        <v>129</v>
      </c>
    </row>
    <row r="6" ht="14.25" customHeight="1">
      <c r="B6" s="30"/>
      <c r="E6" s="15"/>
      <c r="L6" s="30"/>
      <c r="M6" s="30"/>
    </row>
    <row r="7" ht="14.25" customHeight="1">
      <c r="B7" s="30"/>
      <c r="E7" s="15"/>
      <c r="L7" s="30"/>
      <c r="M7" s="30"/>
    </row>
    <row r="8" ht="14.25" customHeight="1">
      <c r="A8" s="31" t="s">
        <v>141</v>
      </c>
      <c r="B8" s="32"/>
      <c r="C8" s="32"/>
      <c r="D8" s="32"/>
      <c r="E8" s="33"/>
      <c r="L8" s="30"/>
      <c r="M8" s="30"/>
    </row>
  </sheetData>
  <mergeCells count="1">
    <mergeCell ref="A8:E8"/>
  </mergeCells>
  <hyperlinks>
    <hyperlink r:id="rId1" ref="N2"/>
    <hyperlink r:id="rId1" ref="N3"/>
    <hyperlink r:id="rId1" ref="N4"/>
    <hyperlink r:id="rId1" ref="N5"/>
  </hyperlinks>
  <printOptions headings="0" gridLines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B3" activeCellId="0" sqref="B3"/>
    </sheetView>
  </sheetViews>
  <sheetFormatPr baseColWidth="10" defaultColWidth="8.54296875" defaultRowHeight="14.25"/>
  <cols>
    <col customWidth="1" min="1" max="1" style="1" width="21"/>
    <col customWidth="1" min="2" max="2" style="1" width="15.81640625"/>
  </cols>
  <sheetData>
    <row r="1">
      <c r="A1" s="9" t="s">
        <v>142</v>
      </c>
      <c r="B1" s="9" t="s">
        <v>72</v>
      </c>
    </row>
    <row r="2">
      <c r="A2" s="10">
        <v>1</v>
      </c>
      <c r="B2" s="10" t="s">
        <v>143</v>
      </c>
    </row>
    <row r="3">
      <c r="A3" s="10">
        <v>2</v>
      </c>
      <c r="B3" s="10" t="s">
        <v>144</v>
      </c>
    </row>
    <row r="7" ht="14.25" customHeight="1">
      <c r="A7" s="31" t="s">
        <v>145</v>
      </c>
      <c r="B7" s="32"/>
      <c r="C7" s="32"/>
      <c r="D7" s="32"/>
      <c r="E7" s="33"/>
    </row>
  </sheetData>
  <mergeCells count="1">
    <mergeCell ref="A7:E7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7" activeCellId="0" sqref="A7"/>
    </sheetView>
  </sheetViews>
  <sheetFormatPr baseColWidth="10" defaultColWidth="8.54296875" defaultRowHeight="14.25"/>
  <cols>
    <col customWidth="1" min="1" max="1" style="1" width="10.81640625"/>
    <col customWidth="1" min="2" max="2" style="1" width="22.7265625"/>
  </cols>
  <sheetData>
    <row r="1">
      <c r="A1" s="34" t="s">
        <v>146</v>
      </c>
      <c r="B1" s="34" t="s">
        <v>72</v>
      </c>
    </row>
    <row r="2">
      <c r="A2" s="35">
        <v>1</v>
      </c>
      <c r="B2" s="36" t="s">
        <v>147</v>
      </c>
    </row>
    <row r="3">
      <c r="A3" s="35">
        <v>2</v>
      </c>
      <c r="B3" s="36" t="s">
        <v>148</v>
      </c>
    </row>
    <row r="4">
      <c r="A4" s="35">
        <v>3</v>
      </c>
      <c r="B4" s="36" t="s">
        <v>149</v>
      </c>
    </row>
    <row r="5">
      <c r="A5" s="35">
        <v>4</v>
      </c>
      <c r="B5" s="36" t="s">
        <v>150</v>
      </c>
    </row>
    <row r="6">
      <c r="A6" s="35">
        <v>5</v>
      </c>
      <c r="B6" s="36" t="s">
        <v>151</v>
      </c>
    </row>
    <row r="11" ht="14.25" customHeight="1">
      <c r="A11" s="31" t="s">
        <v>152</v>
      </c>
      <c r="B11" s="32"/>
      <c r="C11" s="32"/>
      <c r="D11" s="32"/>
      <c r="E11" s="33"/>
    </row>
  </sheetData>
  <mergeCells count="1">
    <mergeCell ref="A11:E11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B1" zoomScale="100" workbookViewId="0">
      <selection activeCell="B15" activeCellId="0" sqref="B15"/>
    </sheetView>
  </sheetViews>
  <sheetFormatPr baseColWidth="10" defaultColWidth="8.54296875" defaultRowHeight="14.25"/>
  <cols>
    <col customWidth="1" min="1" max="1" style="1" width="12.453125"/>
    <col customWidth="1" min="2" max="2" style="1" width="37.26953125"/>
    <col bestFit="1" customWidth="1" min="3" max="3" style="1" width="17.05078125"/>
  </cols>
  <sheetData>
    <row r="1">
      <c r="A1" s="9" t="s">
        <v>153</v>
      </c>
      <c r="B1" s="9" t="s">
        <v>72</v>
      </c>
      <c r="C1" s="9" t="s">
        <v>154</v>
      </c>
    </row>
    <row r="2">
      <c r="A2" s="37">
        <v>1</v>
      </c>
      <c r="B2" s="10" t="s">
        <v>155</v>
      </c>
      <c r="C2" s="37" t="s">
        <v>156</v>
      </c>
    </row>
    <row r="3">
      <c r="A3" s="37">
        <v>2</v>
      </c>
      <c r="B3" s="10" t="s">
        <v>157</v>
      </c>
      <c r="C3" s="37" t="s">
        <v>158</v>
      </c>
    </row>
    <row r="4">
      <c r="A4" s="37">
        <v>3</v>
      </c>
      <c r="B4" s="10" t="s">
        <v>159</v>
      </c>
      <c r="C4" s="37" t="s">
        <v>160</v>
      </c>
    </row>
    <row r="5">
      <c r="A5" s="37">
        <v>4</v>
      </c>
      <c r="B5" s="10" t="s">
        <v>161</v>
      </c>
      <c r="C5" s="37" t="s">
        <v>162</v>
      </c>
    </row>
    <row r="6">
      <c r="A6" s="37">
        <v>5</v>
      </c>
      <c r="B6" s="10" t="s">
        <v>163</v>
      </c>
      <c r="C6" s="37" t="s">
        <v>164</v>
      </c>
    </row>
    <row r="7">
      <c r="A7" s="37">
        <v>6</v>
      </c>
      <c r="B7" s="10" t="s">
        <v>165</v>
      </c>
      <c r="C7" s="37" t="s">
        <v>166</v>
      </c>
    </row>
    <row r="8">
      <c r="A8" s="37">
        <v>7</v>
      </c>
      <c r="B8" s="10" t="s">
        <v>167</v>
      </c>
      <c r="C8" s="37" t="s">
        <v>168</v>
      </c>
    </row>
    <row r="9" ht="14.25" customHeight="1">
      <c r="A9" s="38" t="s">
        <v>169</v>
      </c>
      <c r="B9" s="39"/>
    </row>
    <row r="10" ht="14.25" customHeight="1"/>
    <row r="11" ht="14.25" customHeight="1">
      <c r="A11" s="40" t="s">
        <v>170</v>
      </c>
    </row>
  </sheetData>
  <mergeCells count="1">
    <mergeCell ref="A11:I11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6" activeCellId="0" sqref="A6"/>
    </sheetView>
  </sheetViews>
  <sheetFormatPr baseColWidth="10" defaultColWidth="8.54296875" defaultRowHeight="14.25"/>
  <cols>
    <col customWidth="1" min="1" max="1" style="1" width="10.453125"/>
    <col customWidth="1" min="2" max="2" style="1" width="18.453125"/>
    <col customWidth="1" hidden="1" min="3" max="3" style="1" width="12.54296875"/>
    <col customWidth="1" min="4" max="4" style="1" width="14.7265625"/>
    <col customWidth="1" min="5" max="5" style="1" width="21"/>
  </cols>
  <sheetData>
    <row r="1">
      <c r="A1" s="9" t="s">
        <v>171</v>
      </c>
      <c r="B1" s="9" t="s">
        <v>172</v>
      </c>
      <c r="C1" s="9" t="s">
        <v>173</v>
      </c>
      <c r="D1" s="9" t="s">
        <v>146</v>
      </c>
      <c r="E1" s="9" t="s">
        <v>142</v>
      </c>
    </row>
    <row r="2">
      <c r="A2" s="37">
        <v>1</v>
      </c>
      <c r="B2" s="10" t="s">
        <v>174</v>
      </c>
      <c r="C2" s="10">
        <v>4</v>
      </c>
      <c r="D2" s="10" t="s">
        <v>175</v>
      </c>
      <c r="E2" s="10" t="s">
        <v>143</v>
      </c>
    </row>
    <row r="3">
      <c r="A3" s="37">
        <v>2</v>
      </c>
      <c r="B3" s="10" t="s">
        <v>176</v>
      </c>
      <c r="C3" s="10"/>
      <c r="D3" s="10" t="s">
        <v>177</v>
      </c>
      <c r="E3" s="10" t="s">
        <v>143</v>
      </c>
    </row>
    <row r="4">
      <c r="A4" s="37">
        <v>3</v>
      </c>
      <c r="B4" s="10" t="s">
        <v>178</v>
      </c>
      <c r="C4" s="10"/>
      <c r="D4" s="10" t="s">
        <v>179</v>
      </c>
      <c r="E4" s="10" t="s">
        <v>144</v>
      </c>
    </row>
    <row r="5">
      <c r="A5" s="37">
        <v>4</v>
      </c>
      <c r="B5" s="10" t="s">
        <v>180</v>
      </c>
      <c r="C5" s="10"/>
      <c r="D5" s="10" t="s">
        <v>181</v>
      </c>
      <c r="E5" s="10" t="s">
        <v>144</v>
      </c>
    </row>
    <row r="6">
      <c r="A6" s="37">
        <v>5</v>
      </c>
      <c r="B6" s="10" t="s">
        <v>182</v>
      </c>
      <c r="C6" s="10"/>
      <c r="D6" s="10" t="s">
        <v>183</v>
      </c>
      <c r="E6" s="10" t="s">
        <v>183</v>
      </c>
    </row>
    <row r="9" ht="14.25" customHeight="1">
      <c r="A9" s="40" t="s">
        <v>184</v>
      </c>
    </row>
  </sheetData>
  <mergeCells count="1">
    <mergeCell ref="A9:E9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7" activeCellId="0" sqref="A7"/>
    </sheetView>
  </sheetViews>
  <sheetFormatPr baseColWidth="10" defaultColWidth="8.54296875" defaultRowHeight="14.25"/>
  <cols>
    <col customWidth="1" min="1" max="1" style="1" width="12.7265625"/>
    <col customWidth="1" min="2" max="2" style="1" width="11.54296875"/>
    <col customWidth="1" min="3" max="4" style="1" width="17.26953125"/>
    <col customWidth="1" min="5" max="5" style="1" width="25.26953125"/>
    <col customWidth="1" min="6" max="6" style="1" width="12.7265625"/>
    <col customWidth="1" min="7" max="7" style="1" width="10.7265625"/>
    <col customWidth="1" min="8" max="8" style="1" width="27.7265625"/>
    <col customWidth="1" min="9" max="9" style="1" width="16.54296875"/>
    <col customWidth="1" min="10" max="10" style="1" width="18.1796875"/>
    <col customWidth="1" min="11" max="11" style="1" width="19.1796875"/>
    <col customWidth="1" min="12" max="12" style="1" width="15.1796875"/>
  </cols>
  <sheetData>
    <row r="1">
      <c r="A1" s="9" t="s">
        <v>185</v>
      </c>
      <c r="B1" s="9" t="s">
        <v>107</v>
      </c>
      <c r="C1" s="9" t="s">
        <v>72</v>
      </c>
      <c r="D1" s="9" t="s">
        <v>108</v>
      </c>
      <c r="E1" s="23" t="s">
        <v>109</v>
      </c>
      <c r="F1" s="9" t="s">
        <v>110</v>
      </c>
      <c r="G1" s="9" t="s">
        <v>111</v>
      </c>
      <c r="H1" s="9" t="s">
        <v>112</v>
      </c>
      <c r="I1" s="9" t="s">
        <v>113</v>
      </c>
      <c r="J1" s="9" t="s">
        <v>114</v>
      </c>
      <c r="K1" s="9" t="s">
        <v>186</v>
      </c>
      <c r="L1" s="9" t="s">
        <v>187</v>
      </c>
    </row>
    <row r="2">
      <c r="A2" s="17">
        <v>1</v>
      </c>
      <c r="B2" s="41" t="s">
        <v>118</v>
      </c>
      <c r="C2" s="42" t="s">
        <v>119</v>
      </c>
      <c r="D2" s="42" t="s">
        <v>120</v>
      </c>
      <c r="E2" s="43"/>
      <c r="F2" s="44" t="s">
        <v>122</v>
      </c>
      <c r="G2" s="44" t="s">
        <v>123</v>
      </c>
      <c r="H2" s="44" t="s">
        <v>188</v>
      </c>
      <c r="I2" s="17" t="s">
        <v>125</v>
      </c>
      <c r="J2" s="17" t="s">
        <v>92</v>
      </c>
      <c r="K2" s="17" t="s">
        <v>189</v>
      </c>
      <c r="L2" s="42" t="s">
        <v>174</v>
      </c>
    </row>
    <row r="3">
      <c r="A3" s="17">
        <v>2</v>
      </c>
      <c r="B3" s="20" t="s">
        <v>118</v>
      </c>
      <c r="C3" s="42" t="s">
        <v>130</v>
      </c>
      <c r="D3" s="42" t="s">
        <v>131</v>
      </c>
      <c r="E3" s="43"/>
      <c r="F3" s="44" t="s">
        <v>122</v>
      </c>
      <c r="G3" s="44" t="s">
        <v>123</v>
      </c>
      <c r="H3" s="44" t="s">
        <v>190</v>
      </c>
      <c r="I3" s="17" t="s">
        <v>140</v>
      </c>
      <c r="J3" s="17" t="s">
        <v>191</v>
      </c>
      <c r="K3" s="17" t="s">
        <v>189</v>
      </c>
      <c r="L3" s="10" t="s">
        <v>180</v>
      </c>
    </row>
    <row r="4">
      <c r="A4" s="17">
        <v>3</v>
      </c>
      <c r="B4" s="20" t="s">
        <v>118</v>
      </c>
      <c r="C4" s="42" t="s">
        <v>133</v>
      </c>
      <c r="D4" s="42" t="s">
        <v>134</v>
      </c>
      <c r="E4" s="43"/>
      <c r="F4" s="44" t="s">
        <v>122</v>
      </c>
      <c r="G4" s="44" t="s">
        <v>123</v>
      </c>
      <c r="H4" s="44" t="s">
        <v>192</v>
      </c>
      <c r="I4" s="17" t="s">
        <v>132</v>
      </c>
      <c r="J4" s="17" t="s">
        <v>92</v>
      </c>
      <c r="K4" s="17" t="s">
        <v>189</v>
      </c>
      <c r="L4" s="10" t="s">
        <v>176</v>
      </c>
    </row>
    <row r="5">
      <c r="A5" s="17">
        <v>4</v>
      </c>
      <c r="B5" s="20" t="s">
        <v>118</v>
      </c>
      <c r="C5" s="42" t="s">
        <v>138</v>
      </c>
      <c r="D5" s="42" t="s">
        <v>139</v>
      </c>
      <c r="E5" s="43"/>
      <c r="F5" s="44" t="s">
        <v>122</v>
      </c>
      <c r="G5" s="44" t="s">
        <v>123</v>
      </c>
      <c r="H5" s="44" t="s">
        <v>193</v>
      </c>
      <c r="I5" s="17" t="s">
        <v>140</v>
      </c>
      <c r="J5" s="17" t="s">
        <v>92</v>
      </c>
      <c r="K5" s="17" t="s">
        <v>189</v>
      </c>
      <c r="L5" s="10" t="s">
        <v>180</v>
      </c>
    </row>
    <row r="6">
      <c r="A6" s="17">
        <v>5</v>
      </c>
      <c r="B6" s="20" t="s">
        <v>118</v>
      </c>
      <c r="C6" s="42" t="s">
        <v>194</v>
      </c>
      <c r="D6" s="42" t="s">
        <v>195</v>
      </c>
      <c r="E6" s="43"/>
      <c r="F6" s="44" t="s">
        <v>122</v>
      </c>
      <c r="G6" s="44" t="s">
        <v>123</v>
      </c>
      <c r="H6" s="44" t="s">
        <v>196</v>
      </c>
      <c r="I6" s="17" t="s">
        <v>140</v>
      </c>
      <c r="J6" s="17" t="s">
        <v>92</v>
      </c>
      <c r="K6" s="17" t="s">
        <v>189</v>
      </c>
      <c r="L6" s="10" t="s">
        <v>182</v>
      </c>
    </row>
    <row r="7">
      <c r="A7" s="17">
        <v>6</v>
      </c>
      <c r="B7" s="20" t="s">
        <v>118</v>
      </c>
      <c r="C7" s="42" t="s">
        <v>197</v>
      </c>
      <c r="D7" s="42" t="s">
        <v>198</v>
      </c>
      <c r="E7" s="43"/>
      <c r="F7" s="44" t="s">
        <v>135</v>
      </c>
      <c r="G7" s="44" t="s">
        <v>199</v>
      </c>
      <c r="H7" s="45" t="s">
        <v>200</v>
      </c>
      <c r="I7" s="17" t="s">
        <v>201</v>
      </c>
      <c r="J7" s="17" t="s">
        <v>92</v>
      </c>
      <c r="K7" s="17" t="s">
        <v>202</v>
      </c>
      <c r="L7" s="42" t="s">
        <v>203</v>
      </c>
    </row>
    <row r="8">
      <c r="A8" s="46"/>
      <c r="B8" s="30"/>
      <c r="E8" s="15"/>
    </row>
    <row r="9">
      <c r="B9" s="30"/>
      <c r="E9" s="15"/>
    </row>
    <row r="10" ht="14.25" customHeight="1">
      <c r="A10" s="31" t="s">
        <v>204</v>
      </c>
      <c r="B10" s="32"/>
      <c r="C10" s="32"/>
      <c r="D10" s="32"/>
      <c r="E10" s="33"/>
    </row>
  </sheetData>
  <mergeCells count="1">
    <mergeCell ref="A10:E1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90" workbookViewId="0">
      <pane ySplit="1" topLeftCell="A2" activePane="bottomLeft" state="frozen"/>
      <selection activeCell="G42" activeCellId="0" sqref="G42"/>
    </sheetView>
  </sheetViews>
  <sheetFormatPr baseColWidth="10" defaultColWidth="8.54296875" defaultRowHeight="14.25"/>
  <cols>
    <col customWidth="1" min="1" max="1" style="1" width="14.7265625"/>
    <col customWidth="1" min="2" max="2" style="1" width="13"/>
    <col customWidth="1" min="3" max="3" style="1" width="19.81640625"/>
    <col customWidth="1" min="4" max="4" style="1" width="18"/>
    <col customWidth="1" min="5" max="5" style="1" width="31.81640625"/>
    <col customWidth="1" min="6" max="6" style="1" width="19.1796875"/>
    <col customWidth="1" min="7" max="7" style="1" width="13.1796875"/>
    <col customWidth="1" min="8" max="8" style="1" width="33.54296875"/>
    <col customWidth="1" min="9" max="9" style="1" width="11.81640625"/>
    <col customWidth="1" min="10" max="10" style="1" width="17.8515625"/>
    <col customWidth="1" min="11" max="11" style="1" width="28.8515625"/>
    <col customWidth="1" min="12" max="13" style="1" width="23.140625"/>
    <col customWidth="1" min="14" max="14" style="1" width="26.8515625"/>
    <col customWidth="1" min="15" max="15" style="1" width="21.54296875"/>
    <col customWidth="1" min="16" max="17" style="1" width="17.1796875"/>
    <col customWidth="1" min="18" max="19" style="1" width="26.7265625"/>
    <col customWidth="1" min="20" max="21" style="1" width="32.140625"/>
    <col customWidth="1" min="22" max="22" style="1" width="24.1796875"/>
    <col customWidth="1" min="23" max="23" style="1" width="30"/>
    <col customWidth="1" min="24" max="24" style="1" width="28.1796875"/>
    <col customWidth="1" min="25" max="25" style="1" width="30.1796875"/>
    <col customWidth="1" min="26" max="26" style="1" width="28.7265625"/>
  </cols>
  <sheetData>
    <row r="1" ht="19.149999999999999" customHeight="1">
      <c r="A1" s="23" t="s">
        <v>205</v>
      </c>
      <c r="B1" s="47" t="s">
        <v>107</v>
      </c>
      <c r="C1" s="47" t="s">
        <v>72</v>
      </c>
      <c r="D1" s="47" t="s">
        <v>108</v>
      </c>
      <c r="E1" s="47" t="s">
        <v>109</v>
      </c>
      <c r="F1" s="47" t="s">
        <v>206</v>
      </c>
      <c r="G1" s="47" t="s">
        <v>111</v>
      </c>
      <c r="H1" s="47" t="s">
        <v>112</v>
      </c>
      <c r="I1" s="47" t="s">
        <v>113</v>
      </c>
      <c r="J1" s="47" t="s">
        <v>114</v>
      </c>
      <c r="K1" s="23" t="s">
        <v>115</v>
      </c>
      <c r="L1" s="23" t="s">
        <v>116</v>
      </c>
      <c r="M1" s="48" t="s">
        <v>117</v>
      </c>
      <c r="N1" s="23" t="s">
        <v>117</v>
      </c>
      <c r="O1" s="23" t="s">
        <v>207</v>
      </c>
      <c r="P1" s="23" t="s">
        <v>208</v>
      </c>
      <c r="Q1" s="23" t="s">
        <v>209</v>
      </c>
      <c r="R1" s="23" t="s">
        <v>210</v>
      </c>
      <c r="S1" s="23"/>
      <c r="T1" s="23" t="s">
        <v>211</v>
      </c>
      <c r="U1" s="23" t="s">
        <v>212</v>
      </c>
      <c r="V1" s="23" t="s">
        <v>213</v>
      </c>
      <c r="W1" s="23" t="s">
        <v>214</v>
      </c>
      <c r="X1" s="23" t="s">
        <v>215</v>
      </c>
      <c r="Y1" s="23" t="s">
        <v>216</v>
      </c>
      <c r="Z1" s="23" t="s">
        <v>217</v>
      </c>
    </row>
    <row r="2" ht="19.149999999999999" customHeight="1">
      <c r="A2" s="24">
        <v>1</v>
      </c>
      <c r="B2" s="49" t="s">
        <v>218</v>
      </c>
      <c r="C2" s="22" t="s">
        <v>219</v>
      </c>
      <c r="D2" s="22" t="s">
        <v>220</v>
      </c>
      <c r="E2" s="27">
        <v>40140</v>
      </c>
      <c r="F2" s="22" t="s">
        <v>174</v>
      </c>
      <c r="G2" s="24" t="s">
        <v>136</v>
      </c>
      <c r="H2" s="50" t="s">
        <v>221</v>
      </c>
      <c r="I2" s="51" t="s">
        <v>222</v>
      </c>
      <c r="J2" s="24" t="s">
        <v>126</v>
      </c>
      <c r="K2" s="52"/>
      <c r="L2" s="28"/>
      <c r="M2" s="24" t="str">
        <f t="shared" ref="M2:M9" si="0">CONCATENATE(IFERROR(LEFT(C2,FIND(" ",C2)-1),C2),RIGHT(LEFT(B2,FIND("-",B2)-1),4),"@almaia.cl")</f>
        <v>Alumnono01@almaia.cl</v>
      </c>
      <c r="N2" s="53" t="str">
        <f t="shared" ref="N2:N9" si="1">LOWER(M2)</f>
        <v>alumnono01@almaia.cl</v>
      </c>
      <c r="O2" s="49" t="s">
        <v>223</v>
      </c>
      <c r="P2" s="54" t="s">
        <v>224</v>
      </c>
      <c r="Q2" s="54" t="s">
        <v>225</v>
      </c>
      <c r="R2" s="55" t="s">
        <v>226</v>
      </c>
      <c r="S2" s="53"/>
      <c r="T2" s="52">
        <v>123456789</v>
      </c>
      <c r="U2" s="50" t="s">
        <v>136</v>
      </c>
      <c r="V2" s="28"/>
      <c r="W2" s="56"/>
      <c r="X2" s="56"/>
      <c r="Y2" s="57"/>
      <c r="Z2" s="28"/>
    </row>
    <row r="3" ht="19.149999999999999" customHeight="1">
      <c r="A3" s="24">
        <v>2</v>
      </c>
      <c r="B3" s="49" t="s">
        <v>227</v>
      </c>
      <c r="C3" s="22" t="s">
        <v>228</v>
      </c>
      <c r="D3" s="22" t="s">
        <v>229</v>
      </c>
      <c r="E3" s="27">
        <v>41507</v>
      </c>
      <c r="F3" s="22" t="s">
        <v>230</v>
      </c>
      <c r="G3" s="24" t="s">
        <v>123</v>
      </c>
      <c r="H3" s="50" t="s">
        <v>231</v>
      </c>
      <c r="I3" s="51" t="s">
        <v>232</v>
      </c>
      <c r="J3" s="24" t="s">
        <v>126</v>
      </c>
      <c r="K3" s="28"/>
      <c r="L3" s="28"/>
      <c r="M3" s="24" t="str">
        <f t="shared" si="0"/>
        <v>Alumnono01@almaia.cl</v>
      </c>
      <c r="N3" s="53" t="str">
        <f t="shared" si="1"/>
        <v>alumnono01@almaia.cl</v>
      </c>
      <c r="O3" s="49" t="s">
        <v>233</v>
      </c>
      <c r="P3" s="54" t="s">
        <v>234</v>
      </c>
      <c r="Q3" s="54" t="s">
        <v>235</v>
      </c>
      <c r="R3" s="29" t="s">
        <v>226</v>
      </c>
      <c r="S3" s="53"/>
      <c r="T3" s="52">
        <v>123456789</v>
      </c>
      <c r="U3" s="50" t="s">
        <v>123</v>
      </c>
      <c r="V3" s="28"/>
      <c r="W3" s="56"/>
      <c r="X3" s="56"/>
      <c r="Y3" s="57"/>
      <c r="Z3" s="28"/>
    </row>
    <row r="4" ht="19.149999999999999" customHeight="1">
      <c r="A4" s="24">
        <v>3</v>
      </c>
      <c r="B4" s="49" t="s">
        <v>236</v>
      </c>
      <c r="C4" s="22" t="s">
        <v>237</v>
      </c>
      <c r="D4" s="22" t="s">
        <v>238</v>
      </c>
      <c r="E4" s="27">
        <v>40932</v>
      </c>
      <c r="F4" s="22" t="s">
        <v>239</v>
      </c>
      <c r="G4" s="24" t="s">
        <v>136</v>
      </c>
      <c r="H4" s="50" t="s">
        <v>240</v>
      </c>
      <c r="I4" s="51" t="s">
        <v>241</v>
      </c>
      <c r="J4" s="24" t="s">
        <v>126</v>
      </c>
      <c r="K4" s="52"/>
      <c r="L4" s="28"/>
      <c r="M4" s="24" t="str">
        <f t="shared" si="0"/>
        <v>Alumnono01@almaia.cl</v>
      </c>
      <c r="N4" s="53" t="str">
        <f t="shared" si="1"/>
        <v>alumnono01@almaia.cl</v>
      </c>
      <c r="O4" s="49" t="s">
        <v>242</v>
      </c>
      <c r="P4" s="54" t="s">
        <v>243</v>
      </c>
      <c r="Q4" s="54" t="s">
        <v>244</v>
      </c>
      <c r="R4" s="55" t="s">
        <v>226</v>
      </c>
      <c r="S4" s="53"/>
      <c r="T4" s="52">
        <v>123456789</v>
      </c>
      <c r="U4" s="50" t="s">
        <v>136</v>
      </c>
      <c r="V4" s="28"/>
      <c r="W4" s="56"/>
      <c r="X4" s="56"/>
      <c r="Y4" s="57"/>
      <c r="Z4" s="28"/>
    </row>
    <row r="5" ht="19.149999999999999" customHeight="1">
      <c r="A5" s="24">
        <v>4</v>
      </c>
      <c r="B5" s="49" t="s">
        <v>245</v>
      </c>
      <c r="C5" s="22" t="s">
        <v>246</v>
      </c>
      <c r="D5" s="22" t="s">
        <v>247</v>
      </c>
      <c r="E5" s="27">
        <v>41427</v>
      </c>
      <c r="F5" s="22" t="s">
        <v>248</v>
      </c>
      <c r="G5" s="24" t="s">
        <v>123</v>
      </c>
      <c r="H5" s="50" t="s">
        <v>249</v>
      </c>
      <c r="I5" s="51" t="s">
        <v>222</v>
      </c>
      <c r="J5" s="24" t="s">
        <v>126</v>
      </c>
      <c r="K5" s="28"/>
      <c r="L5" s="28"/>
      <c r="M5" s="24" t="str">
        <f t="shared" si="0"/>
        <v>Alumnono01@almaia.cl</v>
      </c>
      <c r="N5" s="53" t="str">
        <f t="shared" si="1"/>
        <v>alumnono01@almaia.cl</v>
      </c>
      <c r="O5" s="49" t="s">
        <v>250</v>
      </c>
      <c r="P5" s="54" t="s">
        <v>251</v>
      </c>
      <c r="Q5" s="54" t="s">
        <v>235</v>
      </c>
      <c r="R5" s="55" t="s">
        <v>226</v>
      </c>
      <c r="S5" s="53"/>
      <c r="T5" s="52">
        <v>123456789</v>
      </c>
      <c r="U5" s="50" t="s">
        <v>123</v>
      </c>
      <c r="V5" s="28"/>
      <c r="W5" s="56"/>
      <c r="X5" s="56"/>
      <c r="Y5" s="57"/>
      <c r="Z5" s="28"/>
    </row>
    <row r="6" ht="19.149999999999999" customHeight="1">
      <c r="A6" s="24">
        <v>5</v>
      </c>
      <c r="B6" s="49" t="s">
        <v>252</v>
      </c>
      <c r="C6" s="22" t="s">
        <v>253</v>
      </c>
      <c r="D6" s="22" t="s">
        <v>254</v>
      </c>
      <c r="E6" s="27">
        <v>40929</v>
      </c>
      <c r="F6" s="22" t="s">
        <v>174</v>
      </c>
      <c r="G6" s="24" t="s">
        <v>136</v>
      </c>
      <c r="H6" s="50" t="s">
        <v>255</v>
      </c>
      <c r="I6" s="51" t="s">
        <v>232</v>
      </c>
      <c r="J6" s="24" t="s">
        <v>126</v>
      </c>
      <c r="K6" s="28"/>
      <c r="L6" s="28"/>
      <c r="M6" s="24" t="str">
        <f t="shared" si="0"/>
        <v>Alumnono01@almaia.cl</v>
      </c>
      <c r="N6" s="53" t="str">
        <f t="shared" si="1"/>
        <v>alumnono01@almaia.cl</v>
      </c>
      <c r="O6" s="49" t="s">
        <v>256</v>
      </c>
      <c r="P6" s="54" t="s">
        <v>257</v>
      </c>
      <c r="Q6" s="54" t="s">
        <v>258</v>
      </c>
      <c r="R6" s="55" t="s">
        <v>226</v>
      </c>
      <c r="S6" s="53"/>
      <c r="T6" s="52">
        <v>123456789</v>
      </c>
      <c r="U6" s="50" t="s">
        <v>136</v>
      </c>
      <c r="V6" s="28"/>
      <c r="W6" s="56"/>
      <c r="X6" s="56"/>
      <c r="Y6" s="57"/>
      <c r="Z6" s="28"/>
    </row>
    <row r="7" ht="19.149999999999999" customHeight="1">
      <c r="A7" s="24">
        <v>6</v>
      </c>
      <c r="B7" s="49" t="s">
        <v>259</v>
      </c>
      <c r="C7" s="22" t="s">
        <v>260</v>
      </c>
      <c r="D7" s="22" t="s">
        <v>261</v>
      </c>
      <c r="E7" s="27">
        <v>40377</v>
      </c>
      <c r="F7" s="22" t="s">
        <v>230</v>
      </c>
      <c r="G7" s="24" t="s">
        <v>123</v>
      </c>
      <c r="H7" s="50" t="s">
        <v>262</v>
      </c>
      <c r="I7" s="51" t="s">
        <v>241</v>
      </c>
      <c r="J7" s="24" t="s">
        <v>126</v>
      </c>
      <c r="K7" s="28"/>
      <c r="L7" s="28"/>
      <c r="M7" s="24" t="str">
        <f t="shared" si="0"/>
        <v>Alumnono01@almaia.cl</v>
      </c>
      <c r="N7" s="53" t="str">
        <f t="shared" si="1"/>
        <v>alumnono01@almaia.cl</v>
      </c>
      <c r="O7" s="49" t="s">
        <v>263</v>
      </c>
      <c r="P7" s="54" t="s">
        <v>264</v>
      </c>
      <c r="Q7" s="54" t="s">
        <v>235</v>
      </c>
      <c r="R7" s="29" t="s">
        <v>226</v>
      </c>
      <c r="S7" s="53"/>
      <c r="T7" s="52">
        <v>123456789</v>
      </c>
      <c r="U7" s="50" t="s">
        <v>123</v>
      </c>
      <c r="V7" s="28"/>
      <c r="W7" s="56"/>
      <c r="X7" s="56"/>
      <c r="Y7" s="57"/>
      <c r="Z7" s="28"/>
    </row>
    <row r="8" ht="19.149999999999999" customHeight="1">
      <c r="A8" s="24">
        <v>7</v>
      </c>
      <c r="B8" s="49" t="s">
        <v>265</v>
      </c>
      <c r="C8" s="22" t="s">
        <v>266</v>
      </c>
      <c r="D8" s="22" t="s">
        <v>267</v>
      </c>
      <c r="E8" s="27">
        <v>40629</v>
      </c>
      <c r="F8" s="22" t="s">
        <v>239</v>
      </c>
      <c r="G8" s="24" t="s">
        <v>136</v>
      </c>
      <c r="H8" s="50" t="s">
        <v>268</v>
      </c>
      <c r="I8" s="51" t="s">
        <v>222</v>
      </c>
      <c r="J8" s="24" t="s">
        <v>126</v>
      </c>
      <c r="K8" s="28"/>
      <c r="L8" s="28"/>
      <c r="M8" s="24" t="str">
        <f t="shared" si="0"/>
        <v>Alumnono01@almaia.cl</v>
      </c>
      <c r="N8" s="53" t="str">
        <f t="shared" si="1"/>
        <v>alumnono01@almaia.cl</v>
      </c>
      <c r="O8" s="49" t="s">
        <v>269</v>
      </c>
      <c r="P8" s="54" t="s">
        <v>270</v>
      </c>
      <c r="Q8" s="54" t="s">
        <v>271</v>
      </c>
      <c r="R8" s="55" t="s">
        <v>226</v>
      </c>
      <c r="S8" s="53"/>
      <c r="T8" s="52">
        <v>123456789</v>
      </c>
      <c r="U8" s="50" t="s">
        <v>136</v>
      </c>
      <c r="V8" s="28"/>
      <c r="W8" s="56"/>
      <c r="X8" s="56"/>
      <c r="Y8" s="57"/>
      <c r="Z8" s="28"/>
    </row>
    <row r="9" ht="19.149999999999999" customHeight="1">
      <c r="A9" s="24">
        <v>8</v>
      </c>
      <c r="B9" s="49" t="s">
        <v>272</v>
      </c>
      <c r="C9" s="22" t="s">
        <v>273</v>
      </c>
      <c r="D9" s="22" t="s">
        <v>274</v>
      </c>
      <c r="E9" s="27">
        <v>40307</v>
      </c>
      <c r="F9" s="22" t="s">
        <v>248</v>
      </c>
      <c r="G9" s="24" t="s">
        <v>123</v>
      </c>
      <c r="H9" s="50" t="s">
        <v>275</v>
      </c>
      <c r="I9" s="51" t="s">
        <v>232</v>
      </c>
      <c r="J9" s="24" t="s">
        <v>126</v>
      </c>
      <c r="K9" s="28"/>
      <c r="L9" s="28"/>
      <c r="M9" s="24" t="str">
        <f t="shared" si="0"/>
        <v>Alumnono01@almaia.cl</v>
      </c>
      <c r="N9" s="53" t="str">
        <f t="shared" si="1"/>
        <v>alumnono01@almaia.cl</v>
      </c>
      <c r="O9" s="49" t="s">
        <v>276</v>
      </c>
      <c r="P9" s="54" t="s">
        <v>277</v>
      </c>
      <c r="Q9" s="54" t="s">
        <v>235</v>
      </c>
      <c r="R9" s="55" t="s">
        <v>226</v>
      </c>
      <c r="S9" s="53"/>
      <c r="T9" s="52">
        <v>123456789</v>
      </c>
      <c r="U9" s="50" t="s">
        <v>123</v>
      </c>
      <c r="V9" s="28"/>
      <c r="W9" s="56"/>
      <c r="X9" s="56"/>
      <c r="Y9" s="57"/>
      <c r="Z9" s="28"/>
    </row>
    <row r="10" ht="19.149999999999999" customHeight="1">
      <c r="A10" s="24">
        <v>9</v>
      </c>
      <c r="B10" s="49" t="s">
        <v>278</v>
      </c>
      <c r="C10" s="22" t="s">
        <v>279</v>
      </c>
      <c r="D10" s="22" t="s">
        <v>280</v>
      </c>
      <c r="E10" s="27">
        <v>40273</v>
      </c>
      <c r="F10" s="22" t="s">
        <v>174</v>
      </c>
      <c r="G10" s="24" t="s">
        <v>136</v>
      </c>
      <c r="H10" s="50" t="s">
        <v>281</v>
      </c>
      <c r="I10" s="51" t="s">
        <v>241</v>
      </c>
      <c r="J10" s="24" t="s">
        <v>126</v>
      </c>
      <c r="K10" s="28"/>
      <c r="L10" s="28"/>
      <c r="M10" s="24" t="str">
        <f t="shared" ref="M10:M11" si="2">CONCATENATE(IFERROR(LEFT(C10,FIND(" ",C10)-1),C10),RIGHT(LEFT(B10,FIND("-",B10)-1),4),"@almaia.cl")</f>
        <v>Alumnono01@almaia.cl</v>
      </c>
      <c r="N10" s="53" t="str">
        <f t="shared" ref="N10:N11" si="3">LOWER(M10)</f>
        <v>alumnono01@almaia.cl</v>
      </c>
      <c r="O10" s="49" t="s">
        <v>282</v>
      </c>
      <c r="P10" s="54" t="s">
        <v>283</v>
      </c>
      <c r="Q10" s="54" t="s">
        <v>284</v>
      </c>
      <c r="R10" s="55" t="s">
        <v>226</v>
      </c>
      <c r="S10" s="53"/>
      <c r="T10" s="52">
        <v>123456789</v>
      </c>
      <c r="U10" s="50" t="s">
        <v>136</v>
      </c>
      <c r="V10" s="28"/>
      <c r="W10" s="56"/>
      <c r="X10" s="56"/>
      <c r="Y10" s="57"/>
      <c r="Z10" s="28"/>
    </row>
    <row r="11" ht="19.149999999999999" customHeight="1">
      <c r="A11" s="24">
        <v>10</v>
      </c>
      <c r="B11" s="49" t="s">
        <v>285</v>
      </c>
      <c r="C11" s="22" t="s">
        <v>286</v>
      </c>
      <c r="D11" s="22" t="s">
        <v>287</v>
      </c>
      <c r="E11" s="27">
        <v>39902</v>
      </c>
      <c r="F11" s="22" t="s">
        <v>230</v>
      </c>
      <c r="G11" s="24" t="s">
        <v>123</v>
      </c>
      <c r="H11" s="50" t="s">
        <v>288</v>
      </c>
      <c r="I11" s="51" t="s">
        <v>222</v>
      </c>
      <c r="J11" s="24" t="s">
        <v>126</v>
      </c>
      <c r="K11" s="28"/>
      <c r="L11" s="28"/>
      <c r="M11" s="24" t="str">
        <f t="shared" si="2"/>
        <v>Alumnono01@almaia.cl</v>
      </c>
      <c r="N11" s="53" t="str">
        <f t="shared" si="3"/>
        <v>alumnono01@almaia.cl</v>
      </c>
      <c r="O11" s="49" t="s">
        <v>289</v>
      </c>
      <c r="P11" s="54" t="s">
        <v>290</v>
      </c>
      <c r="Q11" s="54" t="s">
        <v>235</v>
      </c>
      <c r="R11" s="55" t="s">
        <v>226</v>
      </c>
      <c r="S11" s="53"/>
      <c r="T11" s="52">
        <v>123456789</v>
      </c>
      <c r="U11" s="50" t="s">
        <v>123</v>
      </c>
      <c r="V11" s="28"/>
      <c r="W11" s="56"/>
      <c r="X11" s="56"/>
      <c r="Y11" s="57"/>
      <c r="Z11" s="28"/>
    </row>
    <row r="12" ht="14.25" customHeight="1">
      <c r="B12" s="30"/>
      <c r="E12" s="15"/>
      <c r="K12" s="30"/>
      <c r="L12" s="30"/>
      <c r="O12" s="30"/>
      <c r="T12" s="30"/>
      <c r="V12" s="30"/>
      <c r="Z12" s="30"/>
    </row>
    <row r="13" ht="14.25" customHeight="1">
      <c r="B13" s="30"/>
      <c r="E13" s="15"/>
      <c r="K13" s="30"/>
      <c r="L13" s="30"/>
      <c r="O13" s="30"/>
      <c r="T13" s="30"/>
      <c r="V13" s="30"/>
      <c r="Z13" s="30"/>
    </row>
    <row r="14" ht="14.25" customHeight="1">
      <c r="A14" s="31" t="s">
        <v>291</v>
      </c>
      <c r="B14" s="32"/>
      <c r="C14" s="32"/>
      <c r="D14" s="32"/>
      <c r="E14" s="33"/>
      <c r="K14" s="30"/>
      <c r="L14" s="30"/>
      <c r="O14" s="30"/>
      <c r="T14" s="30"/>
      <c r="V14" s="30"/>
      <c r="Z14" s="30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4" ht="14.25" customHeight="1"/>
  </sheetData>
  <autoFilter ref="A1:Z11"/>
  <mergeCells count="1">
    <mergeCell ref="A14:E14"/>
  </mergeCells>
  <hyperlinks>
    <hyperlink r:id="rId1" ref="R2"/>
    <hyperlink r:id="rId1" ref="R3"/>
    <hyperlink r:id="rId1" ref="R4"/>
    <hyperlink r:id="rId1" ref="R5"/>
    <hyperlink r:id="rId1" ref="R6"/>
    <hyperlink r:id="rId1" ref="R7"/>
    <hyperlink r:id="rId1" ref="R8"/>
    <hyperlink r:id="rId1" ref="R9"/>
    <hyperlink r:id="rId1" ref="R10"/>
    <hyperlink r:id="rId1" ref="R11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C13" activeCellId="0" sqref="C13"/>
    </sheetView>
  </sheetViews>
  <sheetFormatPr baseColWidth="10" defaultColWidth="8.54296875" defaultRowHeight="14.25"/>
  <cols>
    <col customWidth="1" min="1" max="1" style="1" width="16.81640625"/>
    <col customWidth="1" min="2" max="2" style="1" width="19.1796875"/>
    <col customWidth="1" min="3" max="3" style="1" width="42.26953125"/>
    <col customWidth="1" min="4" max="4" style="1" width="27.54296875"/>
    <col customWidth="1" min="5" max="5" style="1" width="31.81640625"/>
  </cols>
  <sheetData>
    <row r="1" ht="16.899999999999999" customHeight="1">
      <c r="A1" s="58" t="s">
        <v>292</v>
      </c>
      <c r="B1" s="58" t="s">
        <v>206</v>
      </c>
      <c r="C1" s="58" t="s">
        <v>293</v>
      </c>
      <c r="D1" s="58" t="s">
        <v>294</v>
      </c>
      <c r="E1" s="58" t="s">
        <v>295</v>
      </c>
    </row>
    <row r="2" ht="16.899999999999999" customHeight="1">
      <c r="A2" s="59">
        <v>1</v>
      </c>
      <c r="B2" s="60" t="s">
        <v>174</v>
      </c>
      <c r="C2" s="60" t="s">
        <v>296</v>
      </c>
      <c r="D2" s="22" t="s">
        <v>297</v>
      </c>
      <c r="E2" s="60" t="s">
        <v>298</v>
      </c>
    </row>
    <row r="3" ht="16.899999999999999" customHeight="1">
      <c r="A3" s="59">
        <v>2</v>
      </c>
      <c r="B3" s="60" t="s">
        <v>174</v>
      </c>
      <c r="C3" s="60" t="s">
        <v>299</v>
      </c>
      <c r="D3" s="22" t="s">
        <v>300</v>
      </c>
      <c r="E3" s="60" t="s">
        <v>301</v>
      </c>
    </row>
    <row r="4" ht="16.899999999999999" customHeight="1">
      <c r="A4" s="59">
        <v>3</v>
      </c>
      <c r="B4" s="60" t="s">
        <v>302</v>
      </c>
      <c r="C4" s="60" t="s">
        <v>296</v>
      </c>
      <c r="D4" s="22" t="s">
        <v>303</v>
      </c>
      <c r="E4" s="60" t="s">
        <v>298</v>
      </c>
    </row>
    <row r="5" ht="16.899999999999999" customHeight="1">
      <c r="A5" s="59">
        <v>4</v>
      </c>
      <c r="B5" s="60" t="s">
        <v>302</v>
      </c>
      <c r="C5" s="60" t="s">
        <v>299</v>
      </c>
      <c r="D5" s="22" t="s">
        <v>300</v>
      </c>
      <c r="E5" s="60" t="s">
        <v>301</v>
      </c>
    </row>
    <row r="6" ht="16.899999999999999" customHeight="1">
      <c r="A6" s="59">
        <v>5</v>
      </c>
      <c r="B6" s="60" t="s">
        <v>182</v>
      </c>
      <c r="C6" s="60" t="s">
        <v>296</v>
      </c>
      <c r="D6" s="22" t="s">
        <v>304</v>
      </c>
      <c r="E6" s="60" t="s">
        <v>298</v>
      </c>
    </row>
    <row r="7" ht="16.899999999999999" customHeight="1">
      <c r="A7" s="59">
        <v>6</v>
      </c>
      <c r="B7" s="60" t="s">
        <v>182</v>
      </c>
      <c r="C7" s="60" t="s">
        <v>299</v>
      </c>
      <c r="D7" s="22" t="s">
        <v>300</v>
      </c>
      <c r="E7" s="60" t="s">
        <v>301</v>
      </c>
    </row>
    <row r="8" ht="16.899999999999999" customHeight="1">
      <c r="A8" s="59">
        <v>7</v>
      </c>
      <c r="B8" s="60" t="s">
        <v>305</v>
      </c>
      <c r="C8" s="60" t="s">
        <v>296</v>
      </c>
      <c r="D8" s="22" t="s">
        <v>306</v>
      </c>
      <c r="E8" s="60" t="s">
        <v>298</v>
      </c>
    </row>
    <row r="9" ht="16.899999999999999" customHeight="1">
      <c r="A9" s="59">
        <v>8</v>
      </c>
      <c r="B9" s="60" t="s">
        <v>305</v>
      </c>
      <c r="C9" s="60" t="s">
        <v>299</v>
      </c>
      <c r="D9" s="22" t="s">
        <v>300</v>
      </c>
      <c r="E9" s="60" t="s">
        <v>301</v>
      </c>
    </row>
    <row r="10" ht="16.899999999999999" customHeight="1">
      <c r="A10" s="59">
        <v>9</v>
      </c>
      <c r="B10" s="60" t="s">
        <v>307</v>
      </c>
      <c r="C10" s="60" t="s">
        <v>296</v>
      </c>
      <c r="D10" s="22" t="s">
        <v>308</v>
      </c>
      <c r="E10" s="60" t="s">
        <v>298</v>
      </c>
    </row>
    <row r="11" ht="16.899999999999999" customHeight="1">
      <c r="A11" s="59">
        <v>10</v>
      </c>
      <c r="B11" s="60" t="s">
        <v>307</v>
      </c>
      <c r="C11" s="60" t="s">
        <v>299</v>
      </c>
      <c r="D11" s="22" t="s">
        <v>300</v>
      </c>
      <c r="E11" s="60" t="s">
        <v>301</v>
      </c>
    </row>
    <row r="18" ht="14.25" customHeight="1">
      <c r="A18" s="31" t="s">
        <v>309</v>
      </c>
      <c r="B18" s="32"/>
      <c r="C18" s="32"/>
      <c r="D18" s="32"/>
      <c r="E18" s="33"/>
    </row>
  </sheetData>
  <mergeCells count="1">
    <mergeCell ref="A18:E18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xSplit="2" ySplit="4" topLeftCell="C5" activePane="bottomRight" state="frozen"/>
      <selection activeCell="A1" activeCellId="0" sqref="A1"/>
    </sheetView>
  </sheetViews>
  <sheetFormatPr baseColWidth="8" defaultRowHeight="14.25"/>
  <cols>
    <col customWidth="1" min="1" max="1" style="1" width="14"/>
    <col customWidth="1" min="2" max="2" style="1" width="42"/>
    <col customWidth="1" min="3" max="16" style="1" width="12"/>
  </cols>
  <sheetData>
    <row r="1" ht="18.75">
      <c r="A1" s="61" t="s">
        <v>310</v>
      </c>
    </row>
    <row r="2">
      <c r="A2" s="62" t="s">
        <v>311</v>
      </c>
    </row>
    <row r="4" ht="42.75">
      <c r="A4" s="63" t="s">
        <v>312</v>
      </c>
      <c r="B4" s="63" t="s">
        <v>313</v>
      </c>
      <c r="C4" s="63" t="s">
        <v>314</v>
      </c>
      <c r="D4" s="63" t="s">
        <v>315</v>
      </c>
      <c r="E4" s="63" t="s">
        <v>316</v>
      </c>
      <c r="F4" s="63" t="s">
        <v>317</v>
      </c>
      <c r="G4" s="63" t="s">
        <v>318</v>
      </c>
      <c r="H4" s="63" t="s">
        <v>104</v>
      </c>
      <c r="I4" s="63" t="s">
        <v>319</v>
      </c>
      <c r="J4" s="63" t="s">
        <v>320</v>
      </c>
      <c r="K4" s="63" t="s">
        <v>321</v>
      </c>
      <c r="L4" s="63" t="s">
        <v>322</v>
      </c>
      <c r="M4" s="63" t="s">
        <v>323</v>
      </c>
      <c r="N4" s="63" t="s">
        <v>324</v>
      </c>
      <c r="O4" s="63" t="s">
        <v>325</v>
      </c>
      <c r="P4" s="63" t="s">
        <v>326</v>
      </c>
    </row>
    <row r="5">
      <c r="A5" s="64" t="s">
        <v>327</v>
      </c>
      <c r="B5" s="65" t="s">
        <v>328</v>
      </c>
      <c r="C5" s="66"/>
      <c r="D5" s="66"/>
      <c r="E5" s="67" t="s">
        <v>329</v>
      </c>
      <c r="F5" s="67" t="s">
        <v>329</v>
      </c>
      <c r="G5" s="67" t="s">
        <v>329</v>
      </c>
      <c r="H5" s="67" t="s">
        <v>329</v>
      </c>
      <c r="I5" s="67" t="s">
        <v>329</v>
      </c>
      <c r="J5" s="67" t="s">
        <v>329</v>
      </c>
      <c r="K5" s="67" t="s">
        <v>329</v>
      </c>
      <c r="L5" s="67" t="s">
        <v>329</v>
      </c>
      <c r="M5" s="67" t="s">
        <v>329</v>
      </c>
      <c r="N5" s="67" t="s">
        <v>329</v>
      </c>
      <c r="O5" s="67" t="s">
        <v>329</v>
      </c>
      <c r="P5" s="67" t="s">
        <v>329</v>
      </c>
    </row>
    <row r="6">
      <c r="A6" s="64" t="s">
        <v>327</v>
      </c>
      <c r="B6" s="65" t="s">
        <v>330</v>
      </c>
      <c r="C6" s="67" t="s">
        <v>329</v>
      </c>
      <c r="D6" s="67" t="s">
        <v>329</v>
      </c>
      <c r="E6" s="67" t="s">
        <v>329</v>
      </c>
      <c r="F6" s="67" t="s">
        <v>329</v>
      </c>
      <c r="G6" s="67" t="s">
        <v>329</v>
      </c>
      <c r="H6" s="67" t="s">
        <v>329</v>
      </c>
      <c r="I6" s="67" t="s">
        <v>329</v>
      </c>
      <c r="J6" s="67" t="s">
        <v>329</v>
      </c>
      <c r="K6" s="67" t="s">
        <v>329</v>
      </c>
      <c r="L6" s="67" t="s">
        <v>329</v>
      </c>
      <c r="M6" s="67" t="s">
        <v>329</v>
      </c>
      <c r="N6" s="67" t="s">
        <v>329</v>
      </c>
      <c r="O6" s="67" t="s">
        <v>329</v>
      </c>
      <c r="P6" s="67" t="s">
        <v>329</v>
      </c>
    </row>
    <row r="7">
      <c r="A7" s="64" t="s">
        <v>327</v>
      </c>
      <c r="B7" s="65" t="s">
        <v>331</v>
      </c>
      <c r="C7" s="68" t="s">
        <v>332</v>
      </c>
      <c r="D7" s="68" t="s">
        <v>332</v>
      </c>
      <c r="E7" s="67" t="s">
        <v>329</v>
      </c>
      <c r="F7" s="67" t="s">
        <v>329</v>
      </c>
      <c r="G7" s="67" t="s">
        <v>329</v>
      </c>
      <c r="H7" s="67" t="s">
        <v>329</v>
      </c>
      <c r="I7" s="67" t="s">
        <v>329</v>
      </c>
      <c r="J7" s="67" t="s">
        <v>329</v>
      </c>
      <c r="K7" s="67" t="s">
        <v>329</v>
      </c>
      <c r="L7" s="67" t="s">
        <v>329</v>
      </c>
      <c r="M7" s="67" t="s">
        <v>329</v>
      </c>
      <c r="N7" s="67" t="s">
        <v>329</v>
      </c>
      <c r="O7" s="67" t="s">
        <v>329</v>
      </c>
      <c r="P7" s="67" t="s">
        <v>329</v>
      </c>
    </row>
    <row r="8">
      <c r="A8" s="69" t="s">
        <v>327</v>
      </c>
      <c r="B8" s="70" t="s">
        <v>333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</row>
    <row r="9">
      <c r="A9" s="64" t="s">
        <v>327</v>
      </c>
      <c r="B9" s="65" t="s">
        <v>334</v>
      </c>
      <c r="C9" s="68" t="s">
        <v>332</v>
      </c>
      <c r="D9" s="68" t="s">
        <v>332</v>
      </c>
      <c r="E9" s="67" t="s">
        <v>329</v>
      </c>
      <c r="F9" s="67" t="s">
        <v>329</v>
      </c>
      <c r="G9" s="67" t="s">
        <v>329</v>
      </c>
      <c r="H9" s="67" t="s">
        <v>329</v>
      </c>
      <c r="I9" s="67" t="s">
        <v>329</v>
      </c>
      <c r="J9" s="67" t="s">
        <v>329</v>
      </c>
      <c r="K9" s="67" t="s">
        <v>329</v>
      </c>
      <c r="L9" s="67" t="s">
        <v>329</v>
      </c>
      <c r="M9" s="67" t="s">
        <v>329</v>
      </c>
      <c r="N9" s="67" t="s">
        <v>329</v>
      </c>
      <c r="O9" s="67" t="s">
        <v>329</v>
      </c>
      <c r="P9" s="67" t="s">
        <v>329</v>
      </c>
    </row>
    <row r="10">
      <c r="A10" s="64" t="s">
        <v>327</v>
      </c>
      <c r="B10" s="65" t="s">
        <v>335</v>
      </c>
      <c r="C10" s="68" t="s">
        <v>332</v>
      </c>
      <c r="D10" s="68" t="s">
        <v>332</v>
      </c>
      <c r="E10" s="67" t="s">
        <v>329</v>
      </c>
      <c r="F10" s="67" t="s">
        <v>329</v>
      </c>
      <c r="G10" s="67" t="s">
        <v>329</v>
      </c>
      <c r="H10" s="67" t="s">
        <v>329</v>
      </c>
      <c r="I10" s="67" t="s">
        <v>329</v>
      </c>
      <c r="J10" s="67" t="s">
        <v>329</v>
      </c>
      <c r="K10" s="67" t="s">
        <v>329</v>
      </c>
      <c r="L10" s="67" t="s">
        <v>329</v>
      </c>
      <c r="M10" s="67" t="s">
        <v>329</v>
      </c>
      <c r="N10" s="67" t="s">
        <v>329</v>
      </c>
      <c r="O10" s="67" t="s">
        <v>329</v>
      </c>
      <c r="P10" s="67" t="s">
        <v>329</v>
      </c>
    </row>
    <row r="11">
      <c r="A11" s="64" t="s">
        <v>327</v>
      </c>
      <c r="B11" s="65" t="s">
        <v>336</v>
      </c>
      <c r="C11" s="68" t="s">
        <v>332</v>
      </c>
      <c r="D11" s="68" t="s">
        <v>332</v>
      </c>
      <c r="E11" s="67" t="s">
        <v>329</v>
      </c>
      <c r="F11" s="67" t="s">
        <v>329</v>
      </c>
      <c r="G11" s="67" t="s">
        <v>329</v>
      </c>
      <c r="H11" s="67" t="s">
        <v>329</v>
      </c>
      <c r="I11" s="67" t="s">
        <v>329</v>
      </c>
      <c r="J11" s="67" t="s">
        <v>329</v>
      </c>
      <c r="K11" s="67" t="s">
        <v>329</v>
      </c>
      <c r="L11" s="67" t="s">
        <v>329</v>
      </c>
      <c r="M11" s="67" t="s">
        <v>329</v>
      </c>
      <c r="N11" s="67" t="s">
        <v>329</v>
      </c>
      <c r="O11" s="67" t="s">
        <v>329</v>
      </c>
      <c r="P11" s="67" t="s">
        <v>329</v>
      </c>
    </row>
    <row r="12">
      <c r="A12" s="64" t="s">
        <v>327</v>
      </c>
      <c r="B12" s="65" t="s">
        <v>337</v>
      </c>
      <c r="C12" s="68" t="s">
        <v>332</v>
      </c>
      <c r="D12" s="68" t="s">
        <v>332</v>
      </c>
      <c r="E12" s="67" t="s">
        <v>329</v>
      </c>
      <c r="F12" s="67" t="s">
        <v>329</v>
      </c>
      <c r="G12" s="67" t="s">
        <v>329</v>
      </c>
      <c r="H12" s="67" t="s">
        <v>329</v>
      </c>
      <c r="I12" s="67" t="s">
        <v>329</v>
      </c>
      <c r="J12" s="67" t="s">
        <v>329</v>
      </c>
      <c r="K12" s="67" t="s">
        <v>329</v>
      </c>
      <c r="L12" s="67" t="s">
        <v>329</v>
      </c>
      <c r="M12" s="67" t="s">
        <v>329</v>
      </c>
      <c r="N12" s="67" t="s">
        <v>329</v>
      </c>
      <c r="O12" s="67" t="s">
        <v>329</v>
      </c>
      <c r="P12" s="67" t="s">
        <v>329</v>
      </c>
    </row>
    <row r="13" ht="42.75">
      <c r="A13" s="64" t="s">
        <v>327</v>
      </c>
      <c r="B13" s="65" t="s">
        <v>338</v>
      </c>
      <c r="C13" s="68" t="s">
        <v>332</v>
      </c>
      <c r="D13" s="68" t="s">
        <v>332</v>
      </c>
      <c r="E13" s="68" t="s">
        <v>332</v>
      </c>
      <c r="F13" s="67" t="s">
        <v>329</v>
      </c>
      <c r="G13" s="67" t="s">
        <v>329</v>
      </c>
      <c r="H13" s="72" t="s">
        <v>339</v>
      </c>
      <c r="I13" s="67" t="s">
        <v>329</v>
      </c>
      <c r="J13" s="67" t="s">
        <v>329</v>
      </c>
      <c r="K13" s="68" t="s">
        <v>332</v>
      </c>
      <c r="L13" s="67" t="s">
        <v>329</v>
      </c>
      <c r="M13" s="67" t="s">
        <v>329</v>
      </c>
      <c r="N13" s="68" t="s">
        <v>332</v>
      </c>
      <c r="O13" s="68" t="s">
        <v>332</v>
      </c>
      <c r="P13" s="68" t="s">
        <v>332</v>
      </c>
    </row>
    <row r="14">
      <c r="A14" s="69" t="s">
        <v>327</v>
      </c>
      <c r="B14" s="70" t="s">
        <v>340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</row>
    <row r="15" ht="42.75">
      <c r="A15" s="64" t="s">
        <v>327</v>
      </c>
      <c r="B15" s="65" t="s">
        <v>341</v>
      </c>
      <c r="C15" s="68" t="s">
        <v>332</v>
      </c>
      <c r="D15" s="68" t="s">
        <v>332</v>
      </c>
      <c r="E15" s="68" t="s">
        <v>332</v>
      </c>
      <c r="F15" s="67" t="s">
        <v>329</v>
      </c>
      <c r="G15" s="67" t="s">
        <v>329</v>
      </c>
      <c r="H15" s="72" t="s">
        <v>342</v>
      </c>
      <c r="I15" s="67" t="s">
        <v>329</v>
      </c>
      <c r="J15" s="67" t="s">
        <v>329</v>
      </c>
      <c r="K15" s="68" t="s">
        <v>332</v>
      </c>
      <c r="L15" s="67" t="s">
        <v>329</v>
      </c>
      <c r="M15" s="67" t="s">
        <v>329</v>
      </c>
      <c r="N15" s="67" t="s">
        <v>329</v>
      </c>
      <c r="O15" s="67" t="s">
        <v>329</v>
      </c>
      <c r="P15" s="67" t="s">
        <v>329</v>
      </c>
    </row>
    <row r="16" ht="42.75">
      <c r="A16" s="64" t="s">
        <v>327</v>
      </c>
      <c r="B16" s="65" t="s">
        <v>343</v>
      </c>
      <c r="C16" s="68" t="s">
        <v>332</v>
      </c>
      <c r="D16" s="68" t="s">
        <v>332</v>
      </c>
      <c r="E16" s="68" t="s">
        <v>332</v>
      </c>
      <c r="F16" s="67" t="s">
        <v>329</v>
      </c>
      <c r="G16" s="67" t="s">
        <v>329</v>
      </c>
      <c r="H16" s="72" t="s">
        <v>342</v>
      </c>
      <c r="I16" s="67" t="s">
        <v>329</v>
      </c>
      <c r="J16" s="67" t="s">
        <v>329</v>
      </c>
      <c r="K16" s="68" t="s">
        <v>332</v>
      </c>
      <c r="L16" s="67" t="s">
        <v>329</v>
      </c>
      <c r="M16" s="67" t="s">
        <v>329</v>
      </c>
      <c r="N16" s="67" t="s">
        <v>329</v>
      </c>
      <c r="O16" s="67" t="s">
        <v>329</v>
      </c>
      <c r="P16" s="67" t="s">
        <v>329</v>
      </c>
    </row>
    <row r="17" ht="42.75">
      <c r="A17" s="64" t="s">
        <v>327</v>
      </c>
      <c r="B17" s="65" t="s">
        <v>344</v>
      </c>
      <c r="C17" s="68" t="s">
        <v>332</v>
      </c>
      <c r="D17" s="68" t="s">
        <v>332</v>
      </c>
      <c r="E17" s="68" t="s">
        <v>332</v>
      </c>
      <c r="F17" s="67" t="s">
        <v>329</v>
      </c>
      <c r="G17" s="67" t="s">
        <v>329</v>
      </c>
      <c r="H17" s="72" t="s">
        <v>342</v>
      </c>
      <c r="I17" s="67" t="s">
        <v>329</v>
      </c>
      <c r="J17" s="67" t="s">
        <v>329</v>
      </c>
      <c r="K17" s="68" t="s">
        <v>332</v>
      </c>
      <c r="L17" s="67" t="s">
        <v>329</v>
      </c>
      <c r="M17" s="67" t="s">
        <v>329</v>
      </c>
      <c r="N17" s="67" t="s">
        <v>329</v>
      </c>
      <c r="O17" s="67" t="s">
        <v>329</v>
      </c>
      <c r="P17" s="67" t="s">
        <v>329</v>
      </c>
    </row>
    <row r="18" ht="42.75">
      <c r="A18" s="64" t="s">
        <v>327</v>
      </c>
      <c r="B18" s="65" t="s">
        <v>345</v>
      </c>
      <c r="C18" s="68" t="s">
        <v>332</v>
      </c>
      <c r="D18" s="68" t="s">
        <v>332</v>
      </c>
      <c r="E18" s="68" t="s">
        <v>332</v>
      </c>
      <c r="F18" s="67" t="s">
        <v>329</v>
      </c>
      <c r="G18" s="67" t="s">
        <v>329</v>
      </c>
      <c r="H18" s="72" t="s">
        <v>342</v>
      </c>
      <c r="I18" s="67" t="s">
        <v>329</v>
      </c>
      <c r="J18" s="67" t="s">
        <v>329</v>
      </c>
      <c r="K18" s="68" t="s">
        <v>332</v>
      </c>
      <c r="L18" s="67" t="s">
        <v>329</v>
      </c>
      <c r="M18" s="67" t="s">
        <v>329</v>
      </c>
      <c r="N18" s="67" t="s">
        <v>329</v>
      </c>
      <c r="O18" s="67" t="s">
        <v>329</v>
      </c>
      <c r="P18" s="67" t="s">
        <v>329</v>
      </c>
    </row>
    <row r="19">
      <c r="A19" s="64" t="s">
        <v>327</v>
      </c>
      <c r="B19" s="65" t="s">
        <v>346</v>
      </c>
      <c r="C19" s="66"/>
      <c r="D19" s="66"/>
      <c r="E19" s="68" t="s">
        <v>332</v>
      </c>
      <c r="F19" s="67" t="s">
        <v>329</v>
      </c>
      <c r="G19" s="67" t="s">
        <v>329</v>
      </c>
      <c r="H19" s="68" t="s">
        <v>332</v>
      </c>
      <c r="I19" s="67" t="s">
        <v>329</v>
      </c>
      <c r="J19" s="67" t="s">
        <v>329</v>
      </c>
      <c r="K19" s="68" t="s">
        <v>332</v>
      </c>
      <c r="L19" s="67" t="s">
        <v>329</v>
      </c>
      <c r="M19" s="67" t="s">
        <v>329</v>
      </c>
      <c r="N19" s="68" t="s">
        <v>332</v>
      </c>
      <c r="O19" s="68" t="s">
        <v>332</v>
      </c>
      <c r="P19" s="68" t="s">
        <v>332</v>
      </c>
    </row>
    <row r="20">
      <c r="A20" s="64" t="s">
        <v>327</v>
      </c>
      <c r="B20" s="65" t="s">
        <v>347</v>
      </c>
      <c r="C20" s="68" t="s">
        <v>332</v>
      </c>
      <c r="D20" s="68" t="s">
        <v>332</v>
      </c>
      <c r="E20" s="68" t="s">
        <v>332</v>
      </c>
      <c r="F20" s="67" t="s">
        <v>329</v>
      </c>
      <c r="G20" s="67" t="s">
        <v>329</v>
      </c>
      <c r="H20" s="68" t="s">
        <v>332</v>
      </c>
      <c r="I20" s="67" t="s">
        <v>329</v>
      </c>
      <c r="J20" s="67" t="s">
        <v>329</v>
      </c>
      <c r="K20" s="68" t="s">
        <v>332</v>
      </c>
      <c r="L20" s="67" t="s">
        <v>329</v>
      </c>
      <c r="M20" s="67" t="s">
        <v>329</v>
      </c>
      <c r="N20" s="68" t="s">
        <v>332</v>
      </c>
      <c r="O20" s="68" t="s">
        <v>332</v>
      </c>
      <c r="P20" s="68" t="s">
        <v>332</v>
      </c>
    </row>
    <row r="21">
      <c r="A21" s="64" t="s">
        <v>327</v>
      </c>
      <c r="B21" s="65" t="s">
        <v>348</v>
      </c>
      <c r="C21" s="68" t="s">
        <v>332</v>
      </c>
      <c r="D21" s="68" t="s">
        <v>332</v>
      </c>
      <c r="E21" s="68" t="s">
        <v>332</v>
      </c>
      <c r="F21" s="67" t="s">
        <v>329</v>
      </c>
      <c r="G21" s="67" t="s">
        <v>329</v>
      </c>
      <c r="H21" s="68" t="s">
        <v>332</v>
      </c>
      <c r="I21" s="67" t="s">
        <v>329</v>
      </c>
      <c r="J21" s="67" t="s">
        <v>329</v>
      </c>
      <c r="K21" s="68" t="s">
        <v>332</v>
      </c>
      <c r="L21" s="67" t="s">
        <v>329</v>
      </c>
      <c r="M21" s="67" t="s">
        <v>329</v>
      </c>
      <c r="N21" s="68" t="s">
        <v>332</v>
      </c>
      <c r="O21" s="68" t="s">
        <v>332</v>
      </c>
      <c r="P21" s="68" t="s">
        <v>332</v>
      </c>
    </row>
    <row r="22">
      <c r="A22" s="69" t="s">
        <v>327</v>
      </c>
      <c r="B22" s="70" t="s">
        <v>349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</row>
    <row r="23" ht="25.5">
      <c r="A23" s="64" t="s">
        <v>327</v>
      </c>
      <c r="B23" s="65" t="s">
        <v>350</v>
      </c>
      <c r="C23" s="68" t="s">
        <v>332</v>
      </c>
      <c r="D23" s="68" t="s">
        <v>332</v>
      </c>
      <c r="E23" s="68" t="s">
        <v>332</v>
      </c>
      <c r="F23" s="67" t="s">
        <v>329</v>
      </c>
      <c r="G23" s="67" t="s">
        <v>329</v>
      </c>
      <c r="H23" s="68" t="s">
        <v>332</v>
      </c>
      <c r="I23" s="67" t="s">
        <v>329</v>
      </c>
      <c r="J23" s="67" t="s">
        <v>329</v>
      </c>
      <c r="K23" s="68" t="s">
        <v>332</v>
      </c>
      <c r="L23" s="67" t="s">
        <v>329</v>
      </c>
      <c r="M23" s="67" t="s">
        <v>329</v>
      </c>
      <c r="N23" s="68" t="s">
        <v>332</v>
      </c>
      <c r="O23" s="68" t="s">
        <v>332</v>
      </c>
      <c r="P23" s="68" t="s">
        <v>332</v>
      </c>
    </row>
    <row r="24">
      <c r="A24" s="64" t="s">
        <v>327</v>
      </c>
      <c r="B24" s="65" t="s">
        <v>351</v>
      </c>
      <c r="C24" s="68" t="s">
        <v>332</v>
      </c>
      <c r="D24" s="68" t="s">
        <v>332</v>
      </c>
      <c r="E24" s="68" t="s">
        <v>332</v>
      </c>
      <c r="F24" s="67" t="s">
        <v>329</v>
      </c>
      <c r="G24" s="67" t="s">
        <v>329</v>
      </c>
      <c r="H24" s="68" t="s">
        <v>332</v>
      </c>
      <c r="I24" s="67" t="s">
        <v>329</v>
      </c>
      <c r="J24" s="67" t="s">
        <v>329</v>
      </c>
      <c r="K24" s="68" t="s">
        <v>332</v>
      </c>
      <c r="L24" s="67" t="s">
        <v>329</v>
      </c>
      <c r="M24" s="67" t="s">
        <v>329</v>
      </c>
      <c r="N24" s="68" t="s">
        <v>332</v>
      </c>
      <c r="O24" s="68" t="s">
        <v>332</v>
      </c>
      <c r="P24" s="68" t="s">
        <v>332</v>
      </c>
    </row>
    <row r="25">
      <c r="A25" s="69" t="s">
        <v>327</v>
      </c>
      <c r="B25" s="70" t="s">
        <v>352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</row>
    <row r="26">
      <c r="A26" s="64" t="s">
        <v>327</v>
      </c>
      <c r="B26" s="65" t="s">
        <v>353</v>
      </c>
      <c r="C26" s="68" t="s">
        <v>332</v>
      </c>
      <c r="D26" s="68" t="s">
        <v>332</v>
      </c>
      <c r="E26" s="67" t="s">
        <v>329</v>
      </c>
      <c r="F26" s="67" t="s">
        <v>329</v>
      </c>
      <c r="G26" s="67" t="s">
        <v>329</v>
      </c>
      <c r="H26" s="67" t="s">
        <v>329</v>
      </c>
      <c r="I26" s="67" t="s">
        <v>329</v>
      </c>
      <c r="J26" s="67" t="s">
        <v>329</v>
      </c>
      <c r="K26" s="68" t="s">
        <v>332</v>
      </c>
      <c r="L26" s="67" t="s">
        <v>329</v>
      </c>
      <c r="M26" s="67" t="s">
        <v>329</v>
      </c>
      <c r="N26" s="67" t="s">
        <v>329</v>
      </c>
      <c r="O26" s="67" t="s">
        <v>329</v>
      </c>
      <c r="P26" s="67" t="s">
        <v>329</v>
      </c>
    </row>
    <row r="27">
      <c r="A27" s="69" t="s">
        <v>327</v>
      </c>
      <c r="B27" s="70" t="s">
        <v>354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</row>
    <row r="28">
      <c r="A28" s="64" t="s">
        <v>327</v>
      </c>
      <c r="B28" s="65" t="s">
        <v>355</v>
      </c>
      <c r="C28" s="68" t="s">
        <v>332</v>
      </c>
      <c r="D28" s="68" t="s">
        <v>332</v>
      </c>
      <c r="E28" s="67" t="s">
        <v>329</v>
      </c>
      <c r="F28" s="67" t="s">
        <v>329</v>
      </c>
      <c r="G28" s="67" t="s">
        <v>329</v>
      </c>
      <c r="H28" s="67" t="s">
        <v>329</v>
      </c>
      <c r="I28" s="67" t="s">
        <v>329</v>
      </c>
      <c r="J28" s="67" t="s">
        <v>329</v>
      </c>
      <c r="K28" s="67" t="s">
        <v>329</v>
      </c>
      <c r="L28" s="67" t="s">
        <v>329</v>
      </c>
      <c r="M28" s="67" t="s">
        <v>329</v>
      </c>
      <c r="N28" s="68" t="s">
        <v>332</v>
      </c>
      <c r="O28" s="68" t="s">
        <v>332</v>
      </c>
      <c r="P28" s="68" t="s">
        <v>332</v>
      </c>
    </row>
    <row r="29" ht="28.5">
      <c r="A29" s="64" t="s">
        <v>327</v>
      </c>
      <c r="B29" s="65" t="s">
        <v>356</v>
      </c>
      <c r="C29" s="68" t="s">
        <v>332</v>
      </c>
      <c r="D29" s="68" t="s">
        <v>332</v>
      </c>
      <c r="E29" s="67" t="s">
        <v>329</v>
      </c>
      <c r="F29" s="67" t="s">
        <v>329</v>
      </c>
      <c r="G29" s="67" t="s">
        <v>329</v>
      </c>
      <c r="H29" s="72" t="s">
        <v>357</v>
      </c>
      <c r="I29" s="67" t="s">
        <v>329</v>
      </c>
      <c r="J29" s="67" t="s">
        <v>329</v>
      </c>
      <c r="K29" s="67" t="s">
        <v>329</v>
      </c>
      <c r="L29" s="67" t="s">
        <v>329</v>
      </c>
      <c r="M29" s="67" t="s">
        <v>329</v>
      </c>
      <c r="N29" s="68" t="s">
        <v>332</v>
      </c>
      <c r="O29" s="68" t="s">
        <v>332</v>
      </c>
      <c r="P29" s="68" t="s">
        <v>332</v>
      </c>
    </row>
    <row r="30">
      <c r="A30" s="64" t="s">
        <v>327</v>
      </c>
      <c r="B30" s="65" t="s">
        <v>358</v>
      </c>
      <c r="C30" s="68" t="s">
        <v>332</v>
      </c>
      <c r="D30" s="68" t="s">
        <v>332</v>
      </c>
      <c r="E30" s="67" t="s">
        <v>329</v>
      </c>
      <c r="F30" s="67" t="s">
        <v>329</v>
      </c>
      <c r="G30" s="67" t="s">
        <v>329</v>
      </c>
      <c r="H30" s="67" t="s">
        <v>329</v>
      </c>
      <c r="I30" s="67" t="s">
        <v>329</v>
      </c>
      <c r="J30" s="67" t="s">
        <v>329</v>
      </c>
      <c r="K30" s="67" t="s">
        <v>329</v>
      </c>
      <c r="L30" s="67" t="s">
        <v>329</v>
      </c>
      <c r="M30" s="67" t="s">
        <v>329</v>
      </c>
      <c r="N30" s="68" t="s">
        <v>332</v>
      </c>
      <c r="O30" s="68" t="s">
        <v>332</v>
      </c>
      <c r="P30" s="68" t="s">
        <v>332</v>
      </c>
    </row>
    <row r="31">
      <c r="A31" s="69" t="s">
        <v>327</v>
      </c>
      <c r="B31" s="70" t="s">
        <v>359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</row>
    <row r="32">
      <c r="A32" s="64" t="s">
        <v>327</v>
      </c>
      <c r="B32" s="65" t="s">
        <v>360</v>
      </c>
      <c r="C32" s="66"/>
      <c r="D32" s="66"/>
      <c r="E32" s="67" t="s">
        <v>329</v>
      </c>
      <c r="F32" s="67" t="s">
        <v>329</v>
      </c>
      <c r="G32" s="67" t="s">
        <v>329</v>
      </c>
      <c r="H32" s="67" t="s">
        <v>329</v>
      </c>
      <c r="I32" s="67" t="s">
        <v>329</v>
      </c>
      <c r="J32" s="67" t="s">
        <v>329</v>
      </c>
      <c r="K32" s="67" t="s">
        <v>329</v>
      </c>
      <c r="L32" s="67" t="s">
        <v>329</v>
      </c>
      <c r="M32" s="67" t="s">
        <v>329</v>
      </c>
      <c r="N32" s="67" t="s">
        <v>329</v>
      </c>
      <c r="O32" s="67" t="s">
        <v>329</v>
      </c>
      <c r="P32" s="67" t="s">
        <v>329</v>
      </c>
    </row>
    <row r="33">
      <c r="A33" s="69" t="s">
        <v>327</v>
      </c>
      <c r="B33" s="70" t="s">
        <v>361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</row>
    <row r="34">
      <c r="A34" s="64" t="s">
        <v>327</v>
      </c>
      <c r="B34" s="65" t="s">
        <v>362</v>
      </c>
      <c r="C34" s="68" t="s">
        <v>332</v>
      </c>
      <c r="D34" s="68" t="s">
        <v>332</v>
      </c>
      <c r="E34" s="68" t="s">
        <v>332</v>
      </c>
      <c r="F34" s="68" t="s">
        <v>332</v>
      </c>
      <c r="G34" s="68" t="s">
        <v>332</v>
      </c>
      <c r="H34" s="68" t="s">
        <v>332</v>
      </c>
      <c r="I34" s="68" t="s">
        <v>332</v>
      </c>
      <c r="J34" s="68" t="s">
        <v>332</v>
      </c>
      <c r="K34" s="68" t="s">
        <v>332</v>
      </c>
      <c r="L34" s="67" t="s">
        <v>329</v>
      </c>
      <c r="M34" s="67" t="s">
        <v>329</v>
      </c>
      <c r="N34" s="67" t="s">
        <v>329</v>
      </c>
      <c r="O34" s="67" t="s">
        <v>329</v>
      </c>
      <c r="P34" s="67" t="s">
        <v>329</v>
      </c>
    </row>
    <row r="35">
      <c r="A35" s="69" t="s">
        <v>327</v>
      </c>
      <c r="B35" s="70" t="s">
        <v>363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</row>
    <row r="36">
      <c r="A36" s="64" t="s">
        <v>327</v>
      </c>
      <c r="B36" s="65" t="s">
        <v>364</v>
      </c>
      <c r="C36" s="68" t="s">
        <v>332</v>
      </c>
      <c r="D36" s="68" t="s">
        <v>332</v>
      </c>
      <c r="E36" s="68" t="s">
        <v>332</v>
      </c>
      <c r="F36" s="68" t="s">
        <v>332</v>
      </c>
      <c r="G36" s="67" t="s">
        <v>329</v>
      </c>
      <c r="H36" s="68" t="s">
        <v>332</v>
      </c>
      <c r="I36" s="68" t="s">
        <v>332</v>
      </c>
      <c r="J36" s="68" t="s">
        <v>332</v>
      </c>
      <c r="K36" s="67" t="s">
        <v>329</v>
      </c>
      <c r="L36" s="67" t="s">
        <v>329</v>
      </c>
      <c r="M36" s="67" t="s">
        <v>329</v>
      </c>
      <c r="N36" s="67" t="s">
        <v>329</v>
      </c>
      <c r="O36" s="67" t="s">
        <v>329</v>
      </c>
      <c r="P36" s="67" t="s">
        <v>329</v>
      </c>
    </row>
    <row r="37">
      <c r="A37" s="64" t="s">
        <v>327</v>
      </c>
      <c r="B37" s="65" t="s">
        <v>365</v>
      </c>
      <c r="C37" s="67" t="s">
        <v>329</v>
      </c>
      <c r="D37" s="67" t="s">
        <v>329</v>
      </c>
      <c r="E37" s="67" t="s">
        <v>329</v>
      </c>
      <c r="F37" s="67" t="s">
        <v>329</v>
      </c>
      <c r="G37" s="67" t="s">
        <v>329</v>
      </c>
      <c r="H37" s="67" t="s">
        <v>329</v>
      </c>
      <c r="I37" s="67" t="s">
        <v>329</v>
      </c>
      <c r="J37" s="67" t="s">
        <v>329</v>
      </c>
      <c r="K37" s="67" t="s">
        <v>329</v>
      </c>
      <c r="L37" s="67" t="s">
        <v>329</v>
      </c>
      <c r="M37" s="67" t="s">
        <v>329</v>
      </c>
      <c r="N37" s="67" t="s">
        <v>329</v>
      </c>
      <c r="O37" s="67" t="s">
        <v>329</v>
      </c>
      <c r="P37" s="67" t="s">
        <v>329</v>
      </c>
    </row>
    <row r="38" ht="28.5">
      <c r="A38" s="64" t="s">
        <v>327</v>
      </c>
      <c r="B38" s="65" t="s">
        <v>366</v>
      </c>
      <c r="C38" s="66"/>
      <c r="D38" s="66"/>
      <c r="E38" s="68" t="s">
        <v>332</v>
      </c>
      <c r="F38" s="68" t="s">
        <v>332</v>
      </c>
      <c r="G38" s="67" t="s">
        <v>329</v>
      </c>
      <c r="H38" s="72" t="s">
        <v>357</v>
      </c>
      <c r="I38" s="67" t="s">
        <v>329</v>
      </c>
      <c r="J38" s="67" t="s">
        <v>329</v>
      </c>
      <c r="K38" s="68" t="s">
        <v>332</v>
      </c>
      <c r="L38" s="67" t="s">
        <v>329</v>
      </c>
      <c r="M38" s="67" t="s">
        <v>329</v>
      </c>
      <c r="N38" s="68" t="s">
        <v>332</v>
      </c>
      <c r="O38" s="68" t="s">
        <v>332</v>
      </c>
      <c r="P38" s="68" t="s">
        <v>332</v>
      </c>
    </row>
    <row r="39">
      <c r="A39" s="64" t="s">
        <v>327</v>
      </c>
      <c r="B39" s="65" t="s">
        <v>367</v>
      </c>
      <c r="C39" s="66"/>
      <c r="D39" s="66"/>
      <c r="E39" s="68" t="s">
        <v>332</v>
      </c>
      <c r="F39" s="68" t="s">
        <v>332</v>
      </c>
      <c r="G39" s="67" t="s">
        <v>329</v>
      </c>
      <c r="H39" s="67" t="s">
        <v>329</v>
      </c>
      <c r="I39" s="67" t="s">
        <v>329</v>
      </c>
      <c r="J39" s="67" t="s">
        <v>329</v>
      </c>
      <c r="K39" s="68" t="s">
        <v>332</v>
      </c>
      <c r="L39" s="67" t="s">
        <v>329</v>
      </c>
      <c r="M39" s="67" t="s">
        <v>329</v>
      </c>
      <c r="N39" s="68" t="s">
        <v>332</v>
      </c>
      <c r="O39" s="68" t="s">
        <v>332</v>
      </c>
      <c r="P39" s="68" t="s">
        <v>332</v>
      </c>
    </row>
    <row r="40">
      <c r="A40" s="64" t="s">
        <v>327</v>
      </c>
      <c r="B40" s="65" t="s">
        <v>368</v>
      </c>
      <c r="C40" s="66"/>
      <c r="D40" s="66"/>
      <c r="E40" s="68" t="s">
        <v>332</v>
      </c>
      <c r="F40" s="68" t="s">
        <v>332</v>
      </c>
      <c r="G40" s="67" t="s">
        <v>329</v>
      </c>
      <c r="H40" s="67" t="s">
        <v>329</v>
      </c>
      <c r="I40" s="67" t="s">
        <v>329</v>
      </c>
      <c r="J40" s="67" t="s">
        <v>329</v>
      </c>
      <c r="K40" s="68" t="s">
        <v>332</v>
      </c>
      <c r="L40" s="67" t="s">
        <v>329</v>
      </c>
      <c r="M40" s="67" t="s">
        <v>329</v>
      </c>
      <c r="N40" s="68" t="s">
        <v>332</v>
      </c>
      <c r="O40" s="68" t="s">
        <v>332</v>
      </c>
      <c r="P40" s="68" t="s">
        <v>332</v>
      </c>
    </row>
    <row r="41">
      <c r="A41" s="64" t="s">
        <v>327</v>
      </c>
      <c r="B41" s="65" t="s">
        <v>369</v>
      </c>
      <c r="C41" s="66"/>
      <c r="D41" s="66"/>
      <c r="E41" s="67" t="s">
        <v>329</v>
      </c>
      <c r="F41" s="67" t="s">
        <v>329</v>
      </c>
      <c r="G41" s="67" t="s">
        <v>329</v>
      </c>
      <c r="H41" s="67" t="s">
        <v>329</v>
      </c>
      <c r="I41" s="67" t="s">
        <v>329</v>
      </c>
      <c r="J41" s="67" t="s">
        <v>329</v>
      </c>
      <c r="K41" s="67" t="s">
        <v>329</v>
      </c>
      <c r="L41" s="67" t="s">
        <v>329</v>
      </c>
      <c r="M41" s="67" t="s">
        <v>329</v>
      </c>
      <c r="N41" s="67" t="s">
        <v>329</v>
      </c>
      <c r="O41" s="67" t="s">
        <v>329</v>
      </c>
      <c r="P41" s="67" t="s">
        <v>329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1" width="10.8515625"/>
    <col customWidth="1" min="3" max="3" width="30.140625"/>
  </cols>
  <sheetData>
    <row r="2" ht="14.25">
      <c r="A2" t="s">
        <v>370</v>
      </c>
    </row>
    <row r="4" ht="28.5">
      <c r="A4" s="73" t="s">
        <v>371</v>
      </c>
      <c r="B4" s="73" t="s">
        <v>372</v>
      </c>
      <c r="C4" s="73" t="s">
        <v>373</v>
      </c>
      <c r="D4" s="73" t="s">
        <v>374</v>
      </c>
      <c r="E4" s="73" t="s">
        <v>375</v>
      </c>
    </row>
    <row r="5" ht="14.25">
      <c r="A5" s="59">
        <v>1</v>
      </c>
      <c r="B5" s="10"/>
      <c r="C5" s="10"/>
      <c r="D5" s="10"/>
      <c r="E5" s="10"/>
      <c r="G5" s="74"/>
    </row>
    <row r="6" ht="30">
      <c r="A6" s="59">
        <v>2</v>
      </c>
      <c r="B6" s="10"/>
      <c r="C6" s="10"/>
      <c r="D6" s="10"/>
      <c r="E6" s="10"/>
      <c r="G6" s="75"/>
    </row>
    <row r="7" ht="14.25">
      <c r="A7" s="59" t="s">
        <v>376</v>
      </c>
      <c r="B7" s="10"/>
      <c r="C7" s="10"/>
      <c r="D7" s="10"/>
      <c r="E7" s="10"/>
      <c r="G7" s="76"/>
    </row>
    <row r="8" ht="14.25">
      <c r="A8" s="59"/>
      <c r="B8" s="59"/>
      <c r="C8" s="59"/>
      <c r="D8" s="59"/>
      <c r="E8" s="59"/>
      <c r="G8" s="76"/>
    </row>
    <row r="9" ht="14.25">
      <c r="A9" s="59"/>
      <c r="B9" s="59"/>
      <c r="C9" s="59"/>
      <c r="D9" s="59"/>
      <c r="E9" s="59"/>
      <c r="G9" s="76"/>
    </row>
    <row r="10" ht="14.25">
      <c r="G10" s="77"/>
    </row>
    <row r="13" ht="14.25">
      <c r="C13" s="77"/>
    </row>
    <row r="14" ht="14.25">
      <c r="C14" s="77"/>
    </row>
    <row r="15" ht="14.25">
      <c r="C15" s="7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language>es-ES</dc:language>
  <cp:revision>13</cp:revision>
  <dcterms:created xsi:type="dcterms:W3CDTF">2025-04-30T16:58:00Z</dcterms:created>
  <dcterms:modified xsi:type="dcterms:W3CDTF">2026-06-26T15:26:45Z</dcterms:modified>
</cp:coreProperties>
</file>